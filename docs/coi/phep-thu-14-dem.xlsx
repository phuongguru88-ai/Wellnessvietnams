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Ngưỡng" sheetId="2" state="visible" r:id="rId4"/>
    <sheet name="Nhật ký" sheetId="3" state="visible" r:id="rId5"/>
    <sheet name="Tổng kết" sheetId="4" state="visible" r:id="rId6"/>
    <sheet name="Lịch 14 đêm" sheetId="5" state="visible" r:id="rId7"/>
    <sheet name="Tổng quan" sheetId="6" state="visible" r:id="rId8"/>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P01 và P02 là dữ liệu VÍ DỤ để xem công thức chạy. Xóa cột E đến M của hai người này trước khi nhập dữ liệu thật.</t>
        </r>
      </text>
    </comment>
  </commentList>
</comments>
</file>

<file path=xl/sharedStrings.xml><?xml version="1.0" encoding="utf-8"?>
<sst xmlns="http://schemas.openxmlformats.org/spreadsheetml/2006/main" count="473" uniqueCount="153">
  <si>
    <t xml:space="preserve">CỘI: Phép thử 14 đêm trước khi code</t>
  </si>
  <si>
    <t xml:space="preserve">Mục đích</t>
  </si>
  <si>
    <t xml:space="preserve">Chạy logic dữ liệu của lớp Giấc ngủ trên 20 người thật qua Zalo. Sáng nhắn 4 câu, tối nhắn 4 câu, điền vào trang Nhật ký. Ngày 15 đọc trang Tổng kết để biết AN sẽ mời ai sang Xả áp lực, ai sang Hồi sinh lực.</t>
  </si>
  <si>
    <t xml:space="preserve">Trang Ngưỡng</t>
  </si>
  <si>
    <t xml:space="preserve">Mọi ngưỡng của logic nằm ở đây, ô vàng. Đổi ngưỡng thì toàn bộ Tổng kết tính lại. Không sửa công thức ở nơi khác.</t>
  </si>
  <si>
    <t xml:space="preserve">Trang Nhật ký</t>
  </si>
  <si>
    <t xml:space="preserve">Mỗi người 14 dòng, đã tạo sẵn P01 đến P20. Chỉ điền cột E đến M (ô vàng). Cột N trở đi là công thức, màu xám, không sửa. P01 và P02 là dữ liệu ví dụ, xóa trước khi nhập thật.</t>
  </si>
  <si>
    <t xml:space="preserve">Câu hỏi sáng</t>
  </si>
  <si>
    <t xml:space="preserve">vao_giac: tối qua vào giấc thế nào (1 khó, 5 dễ). tinh_dem: tỉnh giữa đêm mấy lần (0, 1, 2 là 2 trở lên). sang_day: sáng nay người ra sao (1 mệt, 5 khỏe). dau_truoc_ngu: lúc nằm xuống đầu thế nào (Yên / Nghĩ nhiều / Lo hồi hộp / Bực).</t>
  </si>
  <si>
    <t xml:space="preserve">Câu hỏi tối</t>
  </si>
  <si>
    <t xml:space="preserve">cang_ngay: hôm nay căng mức mấy (1 đến 5). nguon_cang: chỉ hỏi khi căng từ 4 (Việc / Tiền / Người / Không rõ). gio_an_toi: ăn tối xong lúc mấy giờ. gio_tat_den: dự định tắt đèn lúc. xong_viec: có làm Việc Tối không (1 hoặc 0), từ ngày 5.</t>
  </si>
  <si>
    <t xml:space="preserve">Điểm Sáng</t>
  </si>
  <si>
    <t xml:space="preserve">Điểm = 10 × (vao_giac − 1) + 10 × (sang_day − 1) + 10 × (2 − min(tinh_dem, 2)). Thang 0 đến 100. Từ 80 là đêm đạt ngưỡng, dưới 60 là đêm vỡ.</t>
  </si>
  <si>
    <t xml:space="preserve">Trang Tổng kết</t>
  </si>
  <si>
    <t xml:space="preserve">Một dòng mỗi người. Cột KẾT LUẬN NGÀY 15 chạy theo thứ tự: đủ 10 ngày dữ liệu; ngủ bám rễ chưa (chưa thì gia hạn, trừ khi ngủ thuần đã tốt mà sáng vẫn mệt thì mời Hồi sinh lực); loại trừ gốc tiêu hóa (cần từ 4 đêm ăn muộn); mời Xả áp lực (cần từ 3 ngày căng và liên kết căng với đêm vỡ); mời Hồi sinh lực; còn lại vào Cổng Khỏe. Cột LỜI MỜI ghép từ số của chính người đó. Cột Cờ an toàn báo trường hợp cần người thật.</t>
  </si>
  <si>
    <t xml:space="preserve">Trang Lịch 14 đêm</t>
  </si>
  <si>
    <t xml:space="preserve">Gõ mã người vào ô B2 để xem 14 ô như màn hình 'Xem 14 đêm của tôi' trong app: ô tối là đêm vỡ, ô đỏ là ngày căng.</t>
  </si>
  <si>
    <t xml:space="preserve">Trang Tổng quan</t>
  </si>
  <si>
    <t xml:space="preserve">Đếm kết quả cả nhóm. Mũi khoan đúng khi hơn một nửa bám rễ.</t>
  </si>
  <si>
    <t xml:space="preserve">Màu</t>
  </si>
  <si>
    <t xml:space="preserve">Chữ xanh dương trên nền vàng: ô nhập. Chữ đen: công thức. Chữ xanh lá: lấy từ trang khác.</t>
  </si>
  <si>
    <t xml:space="preserve">Ngưỡng của logic dữ liệu CỘI (ô vàng là ô được phép sửa)</t>
  </si>
  <si>
    <t xml:space="preserve">Nhãn nguồn căng</t>
  </si>
  <si>
    <t xml:space="preserve">Đêm đạt ngưỡng khi Điểm Sáng từ</t>
  </si>
  <si>
    <t xml:space="preserve">Việc</t>
  </si>
  <si>
    <t xml:space="preserve">Tiền</t>
  </si>
  <si>
    <t xml:space="preserve">Người</t>
  </si>
  <si>
    <t xml:space="preserve">Không rõ</t>
  </si>
  <si>
    <t xml:space="preserve">Đêm vỡ khi Điểm Sáng dưới</t>
  </si>
  <si>
    <t xml:space="preserve">Ngày căng khi cang_ngay từ</t>
  </si>
  <si>
    <t xml:space="preserve">Nhãn đầu trước ngủ</t>
  </si>
  <si>
    <t xml:space="preserve">Ăn muộn khi ăn tối xong sau (giờ)</t>
  </si>
  <si>
    <t xml:space="preserve">Yên</t>
  </si>
  <si>
    <t xml:space="preserve">Nghĩ nhiều</t>
  </si>
  <si>
    <t xml:space="preserve">Lo hồi hộp</t>
  </si>
  <si>
    <t xml:space="preserve">Bực</t>
  </si>
  <si>
    <t xml:space="preserve">Bước 0: đủ dữ liệu</t>
  </si>
  <si>
    <t xml:space="preserve">Số ngày đủ dữ liệu tối thiểu</t>
  </si>
  <si>
    <t xml:space="preserve">Số ngày căng tối thiểu</t>
  </si>
  <si>
    <t xml:space="preserve">Bước 1: bám rễ</t>
  </si>
  <si>
    <t xml:space="preserve">Điểm TB tuần 2 cao hơn tuần 1 ít nhất</t>
  </si>
  <si>
    <t xml:space="preserve">Số đêm đạt ngưỡng tuần 2 tối thiểu</t>
  </si>
  <si>
    <t xml:space="preserve">Bước 3: mời Xả áp lực</t>
  </si>
  <si>
    <t xml:space="preserve">Chênh lệch (vỡ khi căng trừ vỡ khi yên) tối thiểu</t>
  </si>
  <si>
    <t xml:space="preserve">Tỷ lệ vỡ khi căng tối thiểu</t>
  </si>
  <si>
    <t xml:space="preserve">Tỷ lệ đầu không yên tối thiểu</t>
  </si>
  <si>
    <t xml:space="preserve">Hoặc số ngày căng tuần 2 tối thiểu</t>
  </si>
  <si>
    <t xml:space="preserve">Bước 4: mời Hồi sinh lực</t>
  </si>
  <si>
    <t xml:space="preserve">Sáng dậy TB trong đêm tốt dưới</t>
  </si>
  <si>
    <t xml:space="preserve">Ngưỡng an toàn</t>
  </si>
  <si>
    <t xml:space="preserve">Căng mức 5 liên tiếp (ngày)</t>
  </si>
  <si>
    <t xml:space="preserve">Đêm 'Lo hồi hộp' trong 14 đêm từ</t>
  </si>
  <si>
    <t xml:space="preserve">Tỉnh đêm 2 lần trở lên liên tiếp (đêm)</t>
  </si>
  <si>
    <t xml:space="preserve">Thiếu dữ liệu liên tiếp (ngày)</t>
  </si>
  <si>
    <t xml:space="preserve">Bổ sung</t>
  </si>
  <si>
    <t xml:space="preserve">Số đêm ăn muộn tối thiểu để xét gốc tiêu hóa</t>
  </si>
  <si>
    <t xml:space="preserve">Ngủ thuần TB tuần 2 từ (xét sinh khí khi chưa bám rễ)</t>
  </si>
  <si>
    <t xml:space="preserve">Nguồn: các ngưỡng là giả định ban đầu của nhóm sản phẩm CỘI, chưa có số liệu thực nghiệm. Chỉnh sau phép thử 20 người.</t>
  </si>
  <si>
    <t xml:space="preserve">Mã người</t>
  </si>
  <si>
    <t xml:space="preserve">Ngày</t>
  </si>
  <si>
    <t xml:space="preserve">Tuần</t>
  </si>
  <si>
    <t xml:space="preserve">Thứ</t>
  </si>
  <si>
    <t xml:space="preserve">vao_giac (1-5)</t>
  </si>
  <si>
    <t xml:space="preserve">tinh_dem (0-2)</t>
  </si>
  <si>
    <t xml:space="preserve">sang_day (1-5)</t>
  </si>
  <si>
    <t xml:space="preserve">dau_truoc_ngu</t>
  </si>
  <si>
    <t xml:space="preserve">cang_ngay (1-5)</t>
  </si>
  <si>
    <t xml:space="preserve">nguon_cang</t>
  </si>
  <si>
    <t xml:space="preserve">gio_an_toi</t>
  </si>
  <si>
    <t xml:space="preserve">gio_tat_den</t>
  </si>
  <si>
    <t xml:space="preserve">xong_viec (1/0)</t>
  </si>
  <si>
    <t xml:space="preserve">Đủ dữ liệu</t>
  </si>
  <si>
    <t xml:space="preserve">Đêm vỡ</t>
  </si>
  <si>
    <t xml:space="preserve">Ngày căng</t>
  </si>
  <si>
    <t xml:space="preserve">Đầu không yên</t>
  </si>
  <si>
    <t xml:space="preserve">Ăn muộn</t>
  </si>
  <si>
    <t xml:space="preserve">Đêm đạt ngưỡng</t>
  </si>
  <si>
    <t xml:space="preserve">Căng 5 liên tiếp</t>
  </si>
  <si>
    <t xml:space="preserve">Tỉnh ≥2 liên tiếp</t>
  </si>
  <si>
    <t xml:space="preserve">Thiếu DL liên tiếp</t>
  </si>
  <si>
    <t xml:space="preserve">Điểm ngủ thuần</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</si>
  <si>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</si>
  <si>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</si>
  <si>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</si>
  <si>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</si>
  <si>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</si>
  <si>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</si>
  <si>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</si>
  <si>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</si>
  <si>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</si>
  <si>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</si>
  <si>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</si>
  <si>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</si>
  <si>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</si>
  <si>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</si>
  <si>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</si>
  <si>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</si>
  <si>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</si>
  <si>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</si>
  <si>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</si>
  <si>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</si>
  <si>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Ngày đủ dữ liệu</t>
  </si>
  <si>
    <t xml:space="preserve">Số ngày căng</t>
  </si>
  <si>
    <t xml:space="preserve">Điểm TB tuần 1</t>
  </si>
  <si>
    <t xml:space="preserve">Điểm TB tuần 2</t>
  </si>
  <si>
    <t xml:space="preserve">Chênh T2-T1</t>
  </si>
  <si>
    <t xml:space="preserve">Đêm đạt ngưỡng T2</t>
  </si>
  <si>
    <t xml:space="preserve">Ngủ bám rễ?</t>
  </si>
  <si>
    <t xml:space="preserve">Số đêm vỡ</t>
  </si>
  <si>
    <t xml:space="preserve">Đêm vỡ khi căng</t>
  </si>
  <si>
    <t xml:space="preserve">Tỷ lệ vỡ khi căng</t>
  </si>
  <si>
    <t xml:space="preserve">Tỷ lệ vỡ khi yên</t>
  </si>
  <si>
    <t xml:space="preserve">Chênh lệch</t>
  </si>
  <si>
    <t xml:space="preserve">Tỷ lệ đầu không yên</t>
  </si>
  <si>
    <t xml:space="preserve">Số đêm ăn muộn</t>
  </si>
  <si>
    <t xml:space="preserve">Tỷ lệ vỡ khi ăn muộn</t>
  </si>
  <si>
    <t xml:space="preserve">Sáng dậy TB tuần 2</t>
  </si>
  <si>
    <t xml:space="preserve">Ngày căng tuần 2</t>
  </si>
  <si>
    <t xml:space="preserve">Nguồn căng chính</t>
  </si>
  <si>
    <t xml:space="preserve">KẾT LUẬN NGÀY 15</t>
  </si>
  <si>
    <t xml:space="preserve">LỜI MỜI CỦA AN</t>
  </si>
  <si>
    <t xml:space="preserve">Cờ an toàn</t>
  </si>
  <si>
    <t xml:space="preserve">n Việc</t>
  </si>
  <si>
    <t xml:space="preserve">n Tiền</t>
  </si>
  <si>
    <t xml:space="preserve">n Người</t>
  </si>
  <si>
    <t xml:space="preserve">n Không rõ</t>
  </si>
  <si>
    <t xml:space="preserve">Ngủ thuần TB T2</t>
  </si>
  <si>
    <t xml:space="preserve">Cột W đến Z (ẩn) đếm nguồn căng trong các ngày căng. Cột AA là điểm ngủ thuần (vào giấc và tỉnh đêm, bỏ sáng dậy) để nhận ra người ngủ tốt mà vẫn mệt. Tất cả ngưỡng lấy từ trang Ngưỡng.</t>
  </si>
  <si>
    <t xml:space="preserve">Lịch 14 đêm của một người (màn hình 'Xem 14 đêm của tôi')</t>
  </si>
  <si>
    <t xml:space="preserve">Nhập mã người:</t>
  </si>
  <si>
    <t xml:space="preserve">Đêm vỡ (1)</t>
  </si>
  <si>
    <t xml:space="preserve">Căng (1-5)</t>
  </si>
  <si>
    <t xml:space="preserve">Đầu trước ngủ</t>
  </si>
  <si>
    <t xml:space="preserve">Giờ ăn tối</t>
  </si>
  <si>
    <t xml:space="preserve">Giờ tắt đèn</t>
  </si>
  <si>
    <t xml:space="preserve">Sáng dậy (1-5)</t>
  </si>
  <si>
    <t xml:space="preserve">Kết luận ngày 15:</t>
  </si>
  <si>
    <t xml:space="preserve">Lời mời của AN:</t>
  </si>
  <si>
    <t xml:space="preserve">Ô tối là đêm vỡ, ô đỏ là ngày căng. Nhìn hai hàng này cạnh nhau là thấy liên kết mà AN sẽ nói.</t>
  </si>
  <si>
    <t xml:space="preserve">Tổng quan phép thử 20 người</t>
  </si>
  <si>
    <t xml:space="preserve">Số người có dữ liệu</t>
  </si>
  <si>
    <t xml:space="preserve">Số người đủ 10 ngày dữ liệu</t>
  </si>
  <si>
    <t xml:space="preserve">Số người ngủ bám rễ</t>
  </si>
  <si>
    <t xml:space="preserve">Tỷ lệ bám rễ trên người có dữ liệu</t>
  </si>
  <si>
    <t xml:space="preserve">Mời Xả áp lực</t>
  </si>
  <si>
    <t xml:space="preserve">Mời Hồi sinh lực</t>
  </si>
  <si>
    <t xml:space="preserve">Vào Cổng Khỏe</t>
  </si>
  <si>
    <t xml:space="preserve">Gốc tiêu hóa, ở lại Ngủ</t>
  </si>
  <si>
    <t xml:space="preserve">Chưa bám rễ, gia hạn</t>
  </si>
  <si>
    <t xml:space="preserve">Chưa đủ dữ liệu</t>
  </si>
  <si>
    <t xml:space="preserve">Điểm TB tuần 1 (cả nhóm)</t>
  </si>
  <si>
    <t xml:space="preserve">Điểm TB tuần 2 (cả nhóm)</t>
  </si>
  <si>
    <t xml:space="preserve">Mũi khoan đúng khi: tỷ lệ bám rễ trên 50% và người bám rễ tự kể cho bạn bè. Nếu không, đổi Việc Tối, không đổi mũi khoan.</t>
  </si>
</sst>
</file>

<file path=xl/styles.xml><?xml version="1.0" encoding="utf-8"?>
<styleSheet xmlns="http://schemas.openxmlformats.org/spreadsheetml/2006/main">
  <numFmts count="7">
    <numFmt numFmtId="164" formatCode="General"/>
    <numFmt numFmtId="165" formatCode="hh:mm"/>
    <numFmt numFmtId="166" formatCode="0%"/>
    <numFmt numFmtId="167" formatCode="General"/>
    <numFmt numFmtId="168" formatCode="0.0"/>
    <numFmt numFmtId="169" formatCode="0"/>
    <numFmt numFmtId="170" formatCode="@"/>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color rgb="FF0000FF"/>
      <name val="Arial"/>
      <family val="0"/>
      <charset val="1"/>
    </font>
    <font>
      <i val="true"/>
      <sz val="9"/>
      <name val="Arial"/>
      <family val="0"/>
      <charset val="1"/>
    </font>
    <font>
      <sz val="10"/>
      <name val="Arial"/>
      <family val="2"/>
    </font>
    <font>
      <sz val="10"/>
      <color rgb="FF008000"/>
      <name val="Arial"/>
      <family val="0"/>
      <charset val="1"/>
    </font>
    <font>
      <b val="true"/>
      <sz val="11"/>
      <color rgb="FF008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D9E2C9"/>
        <bgColor rgb="FFD9EAD3"/>
      </patternFill>
    </fill>
    <fill>
      <patternFill patternType="solid">
        <fgColor rgb="FFFFF7C2"/>
        <bgColor rgb="FFFCE5CD"/>
      </patternFill>
    </fill>
    <fill>
      <patternFill patternType="solid">
        <fgColor rgb="FFEDEDED"/>
        <bgColor rgb="FFD9EAD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6" fillId="5"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70"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4CCCC"/>
        </patternFill>
      </fill>
    </dxf>
    <dxf>
      <fill>
        <patternFill>
          <bgColor rgb="FFD9EAD3"/>
        </patternFill>
      </fill>
    </dxf>
    <dxf>
      <fill>
        <patternFill>
          <bgColor rgb="FFFCE5CD"/>
        </patternFill>
      </fill>
    </dxf>
    <dxf>
      <font>
        <name val="Arial"/>
        <charset val="1"/>
        <family val="0"/>
        <b val="1"/>
        <color rgb="FFFFFFFF"/>
      </font>
      <fill>
        <patternFill>
          <bgColor rgb="FF4A4A4A"/>
        </patternFill>
      </fill>
    </dxf>
    <dxf>
      <font>
        <name val="Arial"/>
        <charset val="1"/>
        <family val="0"/>
        <b val="1"/>
        <color rgb="FFFFFFFF"/>
      </font>
      <fill>
        <patternFill>
          <bgColor rgb="FFE0666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C2"/>
      <rgbColor rgb="FFEDEDED"/>
      <rgbColor rgb="FF660066"/>
      <rgbColor rgb="FFE06666"/>
      <rgbColor rgb="FF0066CC"/>
      <rgbColor rgb="FFD9E2C9"/>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48" hidden="false" customHeight="true" outlineLevel="0" collapsed="false">
      <c r="A3" s="2" t="s">
        <v>1</v>
      </c>
      <c r="B3" s="3" t="s">
        <v>2</v>
      </c>
    </row>
    <row r="4" customFormat="false" ht="48" hidden="false" customHeight="true" outlineLevel="0" collapsed="false">
      <c r="A4" s="2" t="s">
        <v>3</v>
      </c>
      <c r="B4" s="3" t="s">
        <v>4</v>
      </c>
    </row>
    <row r="5" customFormat="false" ht="48" hidden="false" customHeight="true" outlineLevel="0" collapsed="false">
      <c r="A5" s="2" t="s">
        <v>5</v>
      </c>
      <c r="B5" s="3" t="s">
        <v>6</v>
      </c>
    </row>
    <row r="6" customFormat="false" ht="48" hidden="false" customHeight="true" outlineLevel="0" collapsed="false">
      <c r="A6" s="2" t="s">
        <v>7</v>
      </c>
      <c r="B6" s="3" t="s">
        <v>8</v>
      </c>
    </row>
    <row r="7" customFormat="false" ht="48" hidden="false" customHeight="true" outlineLevel="0" collapsed="false">
      <c r="A7" s="2" t="s">
        <v>9</v>
      </c>
      <c r="B7" s="3" t="s">
        <v>10</v>
      </c>
    </row>
    <row r="8" customFormat="false" ht="48" hidden="false" customHeight="true" outlineLevel="0" collapsed="false">
      <c r="A8" s="2" t="s">
        <v>11</v>
      </c>
      <c r="B8" s="3" t="s">
        <v>12</v>
      </c>
    </row>
    <row r="9" customFormat="false" ht="48" hidden="false" customHeight="true" outlineLevel="0" collapsed="false">
      <c r="A9" s="2" t="s">
        <v>13</v>
      </c>
      <c r="B9" s="3" t="s">
        <v>14</v>
      </c>
    </row>
    <row r="10" customFormat="false" ht="48" hidden="false" customHeight="true" outlineLevel="0" collapsed="false">
      <c r="A10" s="2" t="s">
        <v>15</v>
      </c>
      <c r="B10" s="3" t="s">
        <v>16</v>
      </c>
    </row>
    <row r="11" customFormat="false" ht="48" hidden="false" customHeight="true" outlineLevel="0" collapsed="false">
      <c r="A11" s="2" t="s">
        <v>17</v>
      </c>
      <c r="B11" s="3" t="s">
        <v>18</v>
      </c>
    </row>
    <row r="12" customFormat="false" ht="48" hidden="false" customHeight="true" outlineLevel="0" collapsed="false">
      <c r="A12" s="2" t="s">
        <v>19</v>
      </c>
      <c r="B12"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s>
  <sheetData>
    <row r="1" customFormat="false" ht="17.35" hidden="false" customHeight="false" outlineLevel="0" collapsed="false">
      <c r="A1" s="1" t="s">
        <v>21</v>
      </c>
    </row>
    <row r="2" customFormat="false" ht="15" hidden="false" customHeight="false" outlineLevel="0" collapsed="false">
      <c r="A2" s="2" t="s">
        <v>11</v>
      </c>
      <c r="D2" s="2" t="s">
        <v>22</v>
      </c>
    </row>
    <row r="3" customFormat="false" ht="15" hidden="false" customHeight="false" outlineLevel="0" collapsed="false">
      <c r="A3" s="4" t="s">
        <v>23</v>
      </c>
      <c r="B3" s="5" t="n">
        <v>80</v>
      </c>
      <c r="D3" s="6" t="s">
        <v>24</v>
      </c>
      <c r="E3" s="6" t="s">
        <v>25</v>
      </c>
      <c r="F3" s="6" t="s">
        <v>26</v>
      </c>
      <c r="G3" s="6" t="s">
        <v>27</v>
      </c>
    </row>
    <row r="4" customFormat="false" ht="15" hidden="false" customHeight="false" outlineLevel="0" collapsed="false">
      <c r="A4" s="4" t="s">
        <v>28</v>
      </c>
      <c r="B4" s="5" t="n">
        <v>60</v>
      </c>
    </row>
    <row r="5" customFormat="false" ht="15" hidden="false" customHeight="false" outlineLevel="0" collapsed="false">
      <c r="A5" s="4" t="s">
        <v>29</v>
      </c>
      <c r="B5" s="5" t="n">
        <v>4</v>
      </c>
      <c r="D5" s="2" t="s">
        <v>30</v>
      </c>
    </row>
    <row r="6" customFormat="false" ht="15" hidden="false" customHeight="false" outlineLevel="0" collapsed="false">
      <c r="A6" s="4" t="s">
        <v>31</v>
      </c>
      <c r="B6" s="7" t="n">
        <v>0.833333333333333</v>
      </c>
      <c r="D6" s="6" t="s">
        <v>32</v>
      </c>
      <c r="E6" s="6" t="s">
        <v>33</v>
      </c>
      <c r="F6" s="6" t="s">
        <v>34</v>
      </c>
      <c r="G6" s="6" t="s">
        <v>35</v>
      </c>
    </row>
    <row r="7" customFormat="false" ht="15" hidden="false" customHeight="false" outlineLevel="0" collapsed="false">
      <c r="A7" s="2" t="s">
        <v>36</v>
      </c>
    </row>
    <row r="8" customFormat="false" ht="15" hidden="false" customHeight="false" outlineLevel="0" collapsed="false">
      <c r="A8" s="4" t="s">
        <v>37</v>
      </c>
      <c r="B8" s="5" t="n">
        <v>10</v>
      </c>
    </row>
    <row r="9" customFormat="false" ht="15" hidden="false" customHeight="false" outlineLevel="0" collapsed="false">
      <c r="A9" s="4" t="s">
        <v>38</v>
      </c>
      <c r="B9" s="5" t="n">
        <v>3</v>
      </c>
    </row>
    <row r="10" customFormat="false" ht="15" hidden="false" customHeight="false" outlineLevel="0" collapsed="false">
      <c r="A10" s="2" t="s">
        <v>39</v>
      </c>
    </row>
    <row r="11" customFormat="false" ht="15" hidden="false" customHeight="false" outlineLevel="0" collapsed="false">
      <c r="A11" s="4" t="s">
        <v>40</v>
      </c>
      <c r="B11" s="5" t="n">
        <v>8</v>
      </c>
    </row>
    <row r="12" customFormat="false" ht="15" hidden="false" customHeight="false" outlineLevel="0" collapsed="false">
      <c r="A12" s="4" t="s">
        <v>41</v>
      </c>
      <c r="B12" s="5" t="n">
        <v>4</v>
      </c>
    </row>
    <row r="13" customFormat="false" ht="15" hidden="false" customHeight="false" outlineLevel="0" collapsed="false">
      <c r="A13" s="2" t="s">
        <v>42</v>
      </c>
    </row>
    <row r="14" customFormat="false" ht="15" hidden="false" customHeight="false" outlineLevel="0" collapsed="false">
      <c r="A14" s="4" t="s">
        <v>43</v>
      </c>
      <c r="B14" s="8" t="n">
        <v>0.35</v>
      </c>
    </row>
    <row r="15" customFormat="false" ht="15" hidden="false" customHeight="false" outlineLevel="0" collapsed="false">
      <c r="A15" s="4" t="s">
        <v>44</v>
      </c>
      <c r="B15" s="8" t="n">
        <v>0.5</v>
      </c>
    </row>
    <row r="16" customFormat="false" ht="15" hidden="false" customHeight="false" outlineLevel="0" collapsed="false">
      <c r="A16" s="4" t="s">
        <v>45</v>
      </c>
      <c r="B16" s="8" t="n">
        <v>0.4</v>
      </c>
    </row>
    <row r="17" customFormat="false" ht="15" hidden="false" customHeight="false" outlineLevel="0" collapsed="false">
      <c r="A17" s="4" t="s">
        <v>46</v>
      </c>
      <c r="B17" s="5" t="n">
        <v>3</v>
      </c>
    </row>
    <row r="18" customFormat="false" ht="15" hidden="false" customHeight="false" outlineLevel="0" collapsed="false">
      <c r="A18" s="2" t="s">
        <v>47</v>
      </c>
    </row>
    <row r="19" customFormat="false" ht="15" hidden="false" customHeight="false" outlineLevel="0" collapsed="false">
      <c r="A19" s="4" t="s">
        <v>48</v>
      </c>
      <c r="B19" s="5" t="n">
        <v>3</v>
      </c>
    </row>
    <row r="20" customFormat="false" ht="15" hidden="false" customHeight="false" outlineLevel="0" collapsed="false">
      <c r="A20" s="2" t="s">
        <v>49</v>
      </c>
    </row>
    <row r="21" customFormat="false" ht="15" hidden="false" customHeight="false" outlineLevel="0" collapsed="false">
      <c r="A21" s="4" t="s">
        <v>50</v>
      </c>
      <c r="B21" s="5" t="n">
        <v>3</v>
      </c>
    </row>
    <row r="22" customFormat="false" ht="15" hidden="false" customHeight="false" outlineLevel="0" collapsed="false">
      <c r="A22" s="4" t="s">
        <v>51</v>
      </c>
      <c r="B22" s="5" t="n">
        <v>7</v>
      </c>
    </row>
    <row r="23" customFormat="false" ht="15" hidden="false" customHeight="false" outlineLevel="0" collapsed="false">
      <c r="A23" s="4" t="s">
        <v>52</v>
      </c>
      <c r="B23" s="5" t="n">
        <v>10</v>
      </c>
    </row>
    <row r="24" customFormat="false" ht="15" hidden="false" customHeight="false" outlineLevel="0" collapsed="false">
      <c r="A24" s="4" t="s">
        <v>53</v>
      </c>
      <c r="B24" s="5" t="n">
        <v>4</v>
      </c>
    </row>
    <row r="25" customFormat="false" ht="15" hidden="false" customHeight="false" outlineLevel="0" collapsed="false">
      <c r="A25" s="2" t="s">
        <v>54</v>
      </c>
    </row>
    <row r="26" customFormat="false" ht="15" hidden="false" customHeight="false" outlineLevel="0" collapsed="false">
      <c r="A26" s="4" t="s">
        <v>55</v>
      </c>
      <c r="B26" s="5" t="n">
        <v>4</v>
      </c>
    </row>
    <row r="27" customFormat="false" ht="15" hidden="false" customHeight="false" outlineLevel="0" collapsed="false">
      <c r="A27" s="4" t="s">
        <v>56</v>
      </c>
      <c r="B27" s="5" t="n">
        <v>75</v>
      </c>
    </row>
    <row r="29" customFormat="false" ht="15" hidden="false" customHeight="false" outlineLevel="0" collapsed="false">
      <c r="A29" s="9"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6"/>
    <col collapsed="false" customWidth="true" hidden="false" outlineLevel="0" max="4" min="4" style="0" width="8"/>
    <col collapsed="false" customWidth="true" hidden="false" outlineLevel="0" max="7" min="5" style="0" width="10"/>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4" min="11" style="0" width="10"/>
    <col collapsed="false" customWidth="true" hidden="false" outlineLevel="0" max="15" min="15" style="0" width="9"/>
    <col collapsed="false" customWidth="true" hidden="false" outlineLevel="0" max="16" min="16" style="0" width="8"/>
    <col collapsed="false" customWidth="true" hidden="false" outlineLevel="0" max="17" min="17" style="0" width="9"/>
    <col collapsed="false" customWidth="true" hidden="false" outlineLevel="0" max="18" min="18" style="0" width="10"/>
    <col collapsed="false" customWidth="true" hidden="false" outlineLevel="0" max="19" min="19" style="0" width="8"/>
    <col collapsed="false" customWidth="true" hidden="false" outlineLevel="0" max="24" min="20" style="0" width="10"/>
  </cols>
  <sheetData>
    <row r="1" customFormat="false" ht="31.5" hidden="false" customHeight="true" outlineLevel="0" collapsed="false">
      <c r="A1" s="10" t="s">
        <v>58</v>
      </c>
      <c r="B1" s="10" t="s">
        <v>59</v>
      </c>
      <c r="C1" s="10" t="s">
        <v>60</v>
      </c>
      <c r="D1" s="10" t="s">
        <v>61</v>
      </c>
      <c r="E1" s="10" t="s">
        <v>62</v>
      </c>
      <c r="F1" s="10" t="s">
        <v>63</v>
      </c>
      <c r="G1" s="10" t="s">
        <v>64</v>
      </c>
      <c r="H1" s="10" t="s">
        <v>65</v>
      </c>
      <c r="I1" s="10" t="s">
        <v>66</v>
      </c>
      <c r="J1" s="10" t="s">
        <v>67</v>
      </c>
      <c r="K1" s="10" t="s">
        <v>68</v>
      </c>
      <c r="L1" s="10" t="s">
        <v>69</v>
      </c>
      <c r="M1" s="10" t="s">
        <v>70</v>
      </c>
      <c r="N1" s="10" t="s">
        <v>11</v>
      </c>
      <c r="O1" s="10" t="s">
        <v>71</v>
      </c>
      <c r="P1" s="10" t="s">
        <v>72</v>
      </c>
      <c r="Q1" s="10" t="s">
        <v>73</v>
      </c>
      <c r="R1" s="10" t="s">
        <v>74</v>
      </c>
      <c r="S1" s="10" t="s">
        <v>75</v>
      </c>
      <c r="T1" s="10" t="s">
        <v>76</v>
      </c>
      <c r="U1" s="10" t="s">
        <v>77</v>
      </c>
      <c r="V1" s="10" t="s">
        <v>78</v>
      </c>
      <c r="W1" s="10" t="s">
        <v>79</v>
      </c>
      <c r="X1" s="10" t="s">
        <v>80</v>
      </c>
    </row>
    <row r="2" customFormat="false" ht="15" hidden="false" customHeight="false" outlineLevel="0" collapsed="false">
      <c r="A2" s="4" t="s">
        <v>81</v>
      </c>
      <c r="B2" s="4" t="n">
        <v>1</v>
      </c>
      <c r="C2" s="4" t="n">
        <f aca="false">IF(B2&lt;=7,1,2)</f>
        <v>1</v>
      </c>
      <c r="D2" s="11"/>
      <c r="E2" s="12" t="n">
        <v>2</v>
      </c>
      <c r="F2" s="12" t="n">
        <v>1</v>
      </c>
      <c r="G2" s="12" t="n">
        <v>2</v>
      </c>
      <c r="H2" s="12" t="s">
        <v>33</v>
      </c>
      <c r="I2" s="12" t="n">
        <v>4</v>
      </c>
      <c r="J2" s="12" t="s">
        <v>24</v>
      </c>
      <c r="K2" s="13" t="n">
        <v>0.854166666666667</v>
      </c>
      <c r="L2" s="13" t="n">
        <v>0.0104166666666667</v>
      </c>
      <c r="M2" s="11"/>
      <c r="N2" s="14" t="n">
        <f aca="false">IF(OR(E2="",F2="",G2=""),"",10*(E2-1)+10*(G2-1)+10*(2-MIN(F2,2)))</f>
        <v>30</v>
      </c>
      <c r="O2" s="14" t="n">
        <f aca="false">IF(AND(N2&lt;&gt;"",I2&lt;&gt;""),1,0)</f>
        <v>1</v>
      </c>
      <c r="P2" s="14" t="n">
        <f aca="false">IF(N2="","",IF(N2&lt;Ngưỡng!$B$4,1,0))</f>
        <v>1</v>
      </c>
      <c r="Q2" s="14" t="n">
        <f aca="false">IF(I2="","",IF(I2&gt;=Ngưỡng!$B$5,1,0))</f>
        <v>1</v>
      </c>
      <c r="R2" s="14" t="n">
        <f aca="false">IF(H2="","",IF(H2&lt;&gt;"Yên",1,0))</f>
        <v>1</v>
      </c>
      <c r="S2" s="14" t="n">
        <f aca="false">IF(K2="","",IF(K2&gt;Ngưỡng!$B$6,1,0))</f>
        <v>1</v>
      </c>
      <c r="T2" s="14" t="n">
        <f aca="false">IF(N2="","",IF(N2&gt;=Ngưỡng!$B$3,1,0))</f>
        <v>0</v>
      </c>
      <c r="U2" s="14" t="n">
        <f aca="false">IF(I2=5,0+1,0)</f>
        <v>0</v>
      </c>
      <c r="V2" s="14" t="n">
        <f aca="false">IF(AND(F2&lt;&gt;"",F2&gt;=2),0+1,0)</f>
        <v>0</v>
      </c>
      <c r="W2" s="14" t="n">
        <f aca="false">IF(O2=0,0+1,0)</f>
        <v>0</v>
      </c>
      <c r="X2" s="14" t="n">
        <f aca="false">IF(OR(E2="",F2=""),"",ROUND((10*(E2-1)+10*(2-MIN(F2,2)))/60*100,0))</f>
        <v>33</v>
      </c>
    </row>
    <row r="3" customFormat="false" ht="15" hidden="false" customHeight="false" outlineLevel="0" collapsed="false">
      <c r="A3" s="4" t="s">
        <v>81</v>
      </c>
      <c r="B3" s="4" t="n">
        <v>2</v>
      </c>
      <c r="C3" s="4" t="n">
        <f aca="false">IF(B3&lt;=7,1,2)</f>
        <v>1</v>
      </c>
      <c r="D3" s="11"/>
      <c r="E3" s="12" t="n">
        <v>3</v>
      </c>
      <c r="F3" s="12" t="n">
        <v>1</v>
      </c>
      <c r="G3" s="12" t="n">
        <v>3</v>
      </c>
      <c r="H3" s="12" t="s">
        <v>32</v>
      </c>
      <c r="I3" s="12" t="n">
        <v>2</v>
      </c>
      <c r="J3" s="11"/>
      <c r="K3" s="13" t="n">
        <v>0.8125</v>
      </c>
      <c r="L3" s="13" t="n">
        <v>0.986111111111111</v>
      </c>
      <c r="M3" s="11"/>
      <c r="N3" s="14" t="n">
        <f aca="false">IF(OR(E3="",F3="",G3=""),"",10*(E3-1)+10*(G3-1)+10*(2-MIN(F3,2)))</f>
        <v>50</v>
      </c>
      <c r="O3" s="14" t="n">
        <f aca="false">IF(AND(N3&lt;&gt;"",I3&lt;&gt;""),1,0)</f>
        <v>1</v>
      </c>
      <c r="P3" s="14" t="n">
        <f aca="false">IF(N3="","",IF(N3&lt;Ngưỡng!$B$4,1,0))</f>
        <v>1</v>
      </c>
      <c r="Q3" s="14" t="n">
        <f aca="false">IF(I3="","",IF(I3&gt;=Ngưỡng!$B$5,1,0))</f>
        <v>0</v>
      </c>
      <c r="R3" s="14" t="n">
        <f aca="false">IF(H3="","",IF(H3&lt;&gt;"Yên",1,0))</f>
        <v>0</v>
      </c>
      <c r="S3" s="14" t="n">
        <f aca="false">IF(K3="","",IF(K3&gt;Ngưỡng!$B$6,1,0))</f>
        <v>0</v>
      </c>
      <c r="T3" s="14" t="n">
        <f aca="false">IF(N3="","",IF(N3&gt;=Ngưỡng!$B$3,1,0))</f>
        <v>0</v>
      </c>
      <c r="U3" s="14" t="n">
        <f aca="false">IF(I3=5,U2+1,0)</f>
        <v>0</v>
      </c>
      <c r="V3" s="14" t="n">
        <f aca="false">IF(AND(F3&lt;&gt;"",F3&gt;=2),V2+1,0)</f>
        <v>0</v>
      </c>
      <c r="W3" s="14" t="n">
        <f aca="false">IF(O3=0,W2+1,0)</f>
        <v>0</v>
      </c>
      <c r="X3" s="14" t="n">
        <f aca="false">IF(OR(E3="",F3=""),"",ROUND((10*(E3-1)+10*(2-MIN(F3,2)))/60*100,0))</f>
        <v>50</v>
      </c>
    </row>
    <row r="4" customFormat="false" ht="15" hidden="false" customHeight="false" outlineLevel="0" collapsed="false">
      <c r="A4" s="4" t="s">
        <v>81</v>
      </c>
      <c r="B4" s="4" t="n">
        <v>3</v>
      </c>
      <c r="C4" s="4" t="n">
        <f aca="false">IF(B4&lt;=7,1,2)</f>
        <v>1</v>
      </c>
      <c r="D4" s="11"/>
      <c r="E4" s="12" t="n">
        <v>2</v>
      </c>
      <c r="F4" s="12" t="n">
        <v>2</v>
      </c>
      <c r="G4" s="12" t="n">
        <v>2</v>
      </c>
      <c r="H4" s="12" t="s">
        <v>35</v>
      </c>
      <c r="I4" s="12" t="n">
        <v>5</v>
      </c>
      <c r="J4" s="12" t="s">
        <v>24</v>
      </c>
      <c r="K4" s="13" t="n">
        <v>0.875</v>
      </c>
      <c r="L4" s="13" t="n">
        <v>0.0208333333333333</v>
      </c>
      <c r="M4" s="11"/>
      <c r="N4" s="14" t="n">
        <f aca="false">IF(OR(E4="",F4="",G4=""),"",10*(E4-1)+10*(G4-1)+10*(2-MIN(F4,2)))</f>
        <v>20</v>
      </c>
      <c r="O4" s="14" t="n">
        <f aca="false">IF(AND(N4&lt;&gt;"",I4&lt;&gt;""),1,0)</f>
        <v>1</v>
      </c>
      <c r="P4" s="14" t="n">
        <f aca="false">IF(N4="","",IF(N4&lt;Ngưỡng!$B$4,1,0))</f>
        <v>1</v>
      </c>
      <c r="Q4" s="14" t="n">
        <f aca="false">IF(I4="","",IF(I4&gt;=Ngưỡng!$B$5,1,0))</f>
        <v>1</v>
      </c>
      <c r="R4" s="14" t="n">
        <f aca="false">IF(H4="","",IF(H4&lt;&gt;"Yên",1,0))</f>
        <v>1</v>
      </c>
      <c r="S4" s="14" t="n">
        <f aca="false">IF(K4="","",IF(K4&gt;Ngưỡng!$B$6,1,0))</f>
        <v>1</v>
      </c>
      <c r="T4" s="14" t="n">
        <f aca="false">IF(N4="","",IF(N4&gt;=Ngưỡng!$B$3,1,0))</f>
        <v>0</v>
      </c>
      <c r="U4" s="14" t="n">
        <f aca="false">IF(I4=5,U3+1,0)</f>
        <v>1</v>
      </c>
      <c r="V4" s="14" t="n">
        <f aca="false">IF(AND(F4&lt;&gt;"",F4&gt;=2),V3+1,0)</f>
        <v>1</v>
      </c>
      <c r="W4" s="14" t="n">
        <f aca="false">IF(O4=0,W3+1,0)</f>
        <v>0</v>
      </c>
      <c r="X4" s="14" t="n">
        <f aca="false">IF(OR(E4="",F4=""),"",ROUND((10*(E4-1)+10*(2-MIN(F4,2)))/60*100,0))</f>
        <v>17</v>
      </c>
    </row>
    <row r="5" customFormat="false" ht="15" hidden="false" customHeight="false" outlineLevel="0" collapsed="false">
      <c r="A5" s="4" t="s">
        <v>81</v>
      </c>
      <c r="B5" s="4" t="n">
        <v>4</v>
      </c>
      <c r="C5" s="4" t="n">
        <f aca="false">IF(B5&lt;=7,1,2)</f>
        <v>1</v>
      </c>
      <c r="D5" s="11"/>
      <c r="E5" s="12" t="n">
        <v>3</v>
      </c>
      <c r="F5" s="12" t="n">
        <v>0</v>
      </c>
      <c r="G5" s="12" t="n">
        <v>3</v>
      </c>
      <c r="H5" s="12" t="s">
        <v>32</v>
      </c>
      <c r="I5" s="12" t="n">
        <v>3</v>
      </c>
      <c r="J5" s="11"/>
      <c r="K5" s="13" t="n">
        <v>0.822916666666667</v>
      </c>
      <c r="L5" s="13" t="n">
        <v>0.979166666666667</v>
      </c>
      <c r="M5" s="11"/>
      <c r="N5" s="14" t="n">
        <f aca="false">IF(OR(E5="",F5="",G5=""),"",10*(E5-1)+10*(G5-1)+10*(2-MIN(F5,2)))</f>
        <v>60</v>
      </c>
      <c r="O5" s="14" t="n">
        <f aca="false">IF(AND(N5&lt;&gt;"",I5&lt;&gt;""),1,0)</f>
        <v>1</v>
      </c>
      <c r="P5" s="14" t="n">
        <f aca="false">IF(N5="","",IF(N5&lt;Ngưỡng!$B$4,1,0))</f>
        <v>0</v>
      </c>
      <c r="Q5" s="14" t="n">
        <f aca="false">IF(I5="","",IF(I5&gt;=Ngưỡng!$B$5,1,0))</f>
        <v>0</v>
      </c>
      <c r="R5" s="14" t="n">
        <f aca="false">IF(H5="","",IF(H5&lt;&gt;"Yên",1,0))</f>
        <v>0</v>
      </c>
      <c r="S5" s="14" t="n">
        <f aca="false">IF(K5="","",IF(K5&gt;Ngưỡng!$B$6,1,0))</f>
        <v>0</v>
      </c>
      <c r="T5" s="14" t="n">
        <f aca="false">IF(N5="","",IF(N5&gt;=Ngưỡng!$B$3,1,0))</f>
        <v>0</v>
      </c>
      <c r="U5" s="14" t="n">
        <f aca="false">IF(I5=5,U4+1,0)</f>
        <v>0</v>
      </c>
      <c r="V5" s="14" t="n">
        <f aca="false">IF(AND(F5&lt;&gt;"",F5&gt;=2),V4+1,0)</f>
        <v>0</v>
      </c>
      <c r="W5" s="14" t="n">
        <f aca="false">IF(O5=0,W4+1,0)</f>
        <v>0</v>
      </c>
      <c r="X5" s="14" t="n">
        <f aca="false">IF(OR(E5="",F5=""),"",ROUND((10*(E5-1)+10*(2-MIN(F5,2)))/60*100,0))</f>
        <v>67</v>
      </c>
    </row>
    <row r="6" customFormat="false" ht="15" hidden="false" customHeight="false" outlineLevel="0" collapsed="false">
      <c r="A6" s="4" t="s">
        <v>81</v>
      </c>
      <c r="B6" s="4" t="n">
        <v>5</v>
      </c>
      <c r="C6" s="4" t="n">
        <f aca="false">IF(B6&lt;=7,1,2)</f>
        <v>1</v>
      </c>
      <c r="D6" s="11"/>
      <c r="E6" s="12" t="n">
        <v>2</v>
      </c>
      <c r="F6" s="12" t="n">
        <v>1</v>
      </c>
      <c r="G6" s="12" t="n">
        <v>2</v>
      </c>
      <c r="H6" s="12" t="s">
        <v>33</v>
      </c>
      <c r="I6" s="12" t="n">
        <v>4</v>
      </c>
      <c r="J6" s="12" t="s">
        <v>26</v>
      </c>
      <c r="K6" s="13" t="n">
        <v>0.833333333333333</v>
      </c>
      <c r="L6" s="13" t="n">
        <v>0</v>
      </c>
      <c r="M6" s="12" t="n">
        <v>1</v>
      </c>
      <c r="N6" s="14" t="n">
        <f aca="false">IF(OR(E6="",F6="",G6=""),"",10*(E6-1)+10*(G6-1)+10*(2-MIN(F6,2)))</f>
        <v>30</v>
      </c>
      <c r="O6" s="14" t="n">
        <f aca="false">IF(AND(N6&lt;&gt;"",I6&lt;&gt;""),1,0)</f>
        <v>1</v>
      </c>
      <c r="P6" s="14" t="n">
        <f aca="false">IF(N6="","",IF(N6&lt;Ngưỡng!$B$4,1,0))</f>
        <v>1</v>
      </c>
      <c r="Q6" s="14" t="n">
        <f aca="false">IF(I6="","",IF(I6&gt;=Ngưỡng!$B$5,1,0))</f>
        <v>1</v>
      </c>
      <c r="R6" s="14" t="n">
        <f aca="false">IF(H6="","",IF(H6&lt;&gt;"Yên",1,0))</f>
        <v>1</v>
      </c>
      <c r="S6" s="14" t="n">
        <f aca="false">IF(K6="","",IF(K6&gt;Ngưỡng!$B$6,1,0))</f>
        <v>0</v>
      </c>
      <c r="T6" s="14" t="n">
        <f aca="false">IF(N6="","",IF(N6&gt;=Ngưỡng!$B$3,1,0))</f>
        <v>0</v>
      </c>
      <c r="U6" s="14" t="n">
        <f aca="false">IF(I6=5,U5+1,0)</f>
        <v>0</v>
      </c>
      <c r="V6" s="14" t="n">
        <f aca="false">IF(AND(F6&lt;&gt;"",F6&gt;=2),V5+1,0)</f>
        <v>0</v>
      </c>
      <c r="W6" s="14" t="n">
        <f aca="false">IF(O6=0,W5+1,0)</f>
        <v>0</v>
      </c>
      <c r="X6" s="14" t="n">
        <f aca="false">IF(OR(E6="",F6=""),"",ROUND((10*(E6-1)+10*(2-MIN(F6,2)))/60*100,0))</f>
        <v>33</v>
      </c>
    </row>
    <row r="7" customFormat="false" ht="15" hidden="false" customHeight="false" outlineLevel="0" collapsed="false">
      <c r="A7" s="4" t="s">
        <v>81</v>
      </c>
      <c r="B7" s="4" t="n">
        <v>6</v>
      </c>
      <c r="C7" s="4" t="n">
        <f aca="false">IF(B7&lt;=7,1,2)</f>
        <v>1</v>
      </c>
      <c r="D7" s="11"/>
      <c r="E7" s="12" t="n">
        <v>4</v>
      </c>
      <c r="F7" s="12" t="n">
        <v>0</v>
      </c>
      <c r="G7" s="12" t="n">
        <v>3</v>
      </c>
      <c r="H7" s="12" t="s">
        <v>32</v>
      </c>
      <c r="I7" s="12" t="n">
        <v>2</v>
      </c>
      <c r="J7" s="11"/>
      <c r="K7" s="13" t="n">
        <v>0.802083333333333</v>
      </c>
      <c r="L7" s="13" t="n">
        <v>0.96875</v>
      </c>
      <c r="M7" s="12" t="n">
        <v>1</v>
      </c>
      <c r="N7" s="14" t="n">
        <f aca="false">IF(OR(E7="",F7="",G7=""),"",10*(E7-1)+10*(G7-1)+10*(2-MIN(F7,2)))</f>
        <v>70</v>
      </c>
      <c r="O7" s="14" t="n">
        <f aca="false">IF(AND(N7&lt;&gt;"",I7&lt;&gt;""),1,0)</f>
        <v>1</v>
      </c>
      <c r="P7" s="14" t="n">
        <f aca="false">IF(N7="","",IF(N7&lt;Ngưỡng!$B$4,1,0))</f>
        <v>0</v>
      </c>
      <c r="Q7" s="14" t="n">
        <f aca="false">IF(I7="","",IF(I7&gt;=Ngưỡng!$B$5,1,0))</f>
        <v>0</v>
      </c>
      <c r="R7" s="14" t="n">
        <f aca="false">IF(H7="","",IF(H7&lt;&gt;"Yên",1,0))</f>
        <v>0</v>
      </c>
      <c r="S7" s="14" t="n">
        <f aca="false">IF(K7="","",IF(K7&gt;Ngưỡng!$B$6,1,0))</f>
        <v>0</v>
      </c>
      <c r="T7" s="14" t="n">
        <f aca="false">IF(N7="","",IF(N7&gt;=Ngưỡng!$B$3,1,0))</f>
        <v>0</v>
      </c>
      <c r="U7" s="14" t="n">
        <f aca="false">IF(I7=5,U6+1,0)</f>
        <v>0</v>
      </c>
      <c r="V7" s="14" t="n">
        <f aca="false">IF(AND(F7&lt;&gt;"",F7&gt;=2),V6+1,0)</f>
        <v>0</v>
      </c>
      <c r="W7" s="14" t="n">
        <f aca="false">IF(O7=0,W6+1,0)</f>
        <v>0</v>
      </c>
      <c r="X7" s="14" t="n">
        <f aca="false">IF(OR(E7="",F7=""),"",ROUND((10*(E7-1)+10*(2-MIN(F7,2)))/60*100,0))</f>
        <v>83</v>
      </c>
    </row>
    <row r="8" customFormat="false" ht="15" hidden="false" customHeight="false" outlineLevel="0" collapsed="false">
      <c r="A8" s="4" t="s">
        <v>81</v>
      </c>
      <c r="B8" s="4" t="n">
        <v>7</v>
      </c>
      <c r="C8" s="4" t="n">
        <f aca="false">IF(B8&lt;=7,1,2)</f>
        <v>1</v>
      </c>
      <c r="D8" s="11"/>
      <c r="E8" s="12" t="n">
        <v>4</v>
      </c>
      <c r="F8" s="12" t="n">
        <v>0</v>
      </c>
      <c r="G8" s="12" t="n">
        <v>4</v>
      </c>
      <c r="H8" s="12" t="s">
        <v>32</v>
      </c>
      <c r="I8" s="12" t="n">
        <v>2</v>
      </c>
      <c r="J8" s="11"/>
      <c r="K8" s="13" t="n">
        <v>0.791666666666667</v>
      </c>
      <c r="L8" s="13" t="n">
        <v>0.958333333333333</v>
      </c>
      <c r="M8" s="12" t="n">
        <v>1</v>
      </c>
      <c r="N8" s="14" t="n">
        <f aca="false">IF(OR(E8="",F8="",G8=""),"",10*(E8-1)+10*(G8-1)+10*(2-MIN(F8,2)))</f>
        <v>80</v>
      </c>
      <c r="O8" s="14" t="n">
        <f aca="false">IF(AND(N8&lt;&gt;"",I8&lt;&gt;""),1,0)</f>
        <v>1</v>
      </c>
      <c r="P8" s="14" t="n">
        <f aca="false">IF(N8="","",IF(N8&lt;Ngưỡng!$B$4,1,0))</f>
        <v>0</v>
      </c>
      <c r="Q8" s="14" t="n">
        <f aca="false">IF(I8="","",IF(I8&gt;=Ngưỡng!$B$5,1,0))</f>
        <v>0</v>
      </c>
      <c r="R8" s="14" t="n">
        <f aca="false">IF(H8="","",IF(H8&lt;&gt;"Yên",1,0))</f>
        <v>0</v>
      </c>
      <c r="S8" s="14" t="n">
        <f aca="false">IF(K8="","",IF(K8&gt;Ngưỡng!$B$6,1,0))</f>
        <v>0</v>
      </c>
      <c r="T8" s="14" t="n">
        <f aca="false">IF(N8="","",IF(N8&gt;=Ngưỡng!$B$3,1,0))</f>
        <v>1</v>
      </c>
      <c r="U8" s="14" t="n">
        <f aca="false">IF(I8=5,U7+1,0)</f>
        <v>0</v>
      </c>
      <c r="V8" s="14" t="n">
        <f aca="false">IF(AND(F8&lt;&gt;"",F8&gt;=2),V7+1,0)</f>
        <v>0</v>
      </c>
      <c r="W8" s="14" t="n">
        <f aca="false">IF(O8=0,W7+1,0)</f>
        <v>0</v>
      </c>
      <c r="X8" s="14" t="n">
        <f aca="false">IF(OR(E8="",F8=""),"",ROUND((10*(E8-1)+10*(2-MIN(F8,2)))/60*100,0))</f>
        <v>83</v>
      </c>
    </row>
    <row r="9" customFormat="false" ht="15" hidden="false" customHeight="false" outlineLevel="0" collapsed="false">
      <c r="A9" s="4" t="s">
        <v>81</v>
      </c>
      <c r="B9" s="4" t="n">
        <v>8</v>
      </c>
      <c r="C9" s="4" t="n">
        <f aca="false">IF(B9&lt;=7,1,2)</f>
        <v>2</v>
      </c>
      <c r="D9" s="11"/>
      <c r="E9" s="12" t="n">
        <v>3</v>
      </c>
      <c r="F9" s="12" t="n">
        <v>1</v>
      </c>
      <c r="G9" s="12" t="n">
        <v>3</v>
      </c>
      <c r="H9" s="12" t="s">
        <v>33</v>
      </c>
      <c r="I9" s="12" t="n">
        <v>4</v>
      </c>
      <c r="J9" s="12" t="s">
        <v>24</v>
      </c>
      <c r="K9" s="13" t="n">
        <v>0.8125</v>
      </c>
      <c r="L9" s="13" t="n">
        <v>0.979166666666667</v>
      </c>
      <c r="M9" s="12" t="n">
        <v>1</v>
      </c>
      <c r="N9" s="14" t="n">
        <f aca="false">IF(OR(E9="",F9="",G9=""),"",10*(E9-1)+10*(G9-1)+10*(2-MIN(F9,2)))</f>
        <v>50</v>
      </c>
      <c r="O9" s="14" t="n">
        <f aca="false">IF(AND(N9&lt;&gt;"",I9&lt;&gt;""),1,0)</f>
        <v>1</v>
      </c>
      <c r="P9" s="14" t="n">
        <f aca="false">IF(N9="","",IF(N9&lt;Ngưỡng!$B$4,1,0))</f>
        <v>1</v>
      </c>
      <c r="Q9" s="14" t="n">
        <f aca="false">IF(I9="","",IF(I9&gt;=Ngưỡng!$B$5,1,0))</f>
        <v>1</v>
      </c>
      <c r="R9" s="14" t="n">
        <f aca="false">IF(H9="","",IF(H9&lt;&gt;"Yên",1,0))</f>
        <v>1</v>
      </c>
      <c r="S9" s="14" t="n">
        <f aca="false">IF(K9="","",IF(K9&gt;Ngưỡng!$B$6,1,0))</f>
        <v>0</v>
      </c>
      <c r="T9" s="14" t="n">
        <f aca="false">IF(N9="","",IF(N9&gt;=Ngưỡng!$B$3,1,0))</f>
        <v>0</v>
      </c>
      <c r="U9" s="14" t="n">
        <f aca="false">IF(I9=5,U8+1,0)</f>
        <v>0</v>
      </c>
      <c r="V9" s="14" t="n">
        <f aca="false">IF(AND(F9&lt;&gt;"",F9&gt;=2),V8+1,0)</f>
        <v>0</v>
      </c>
      <c r="W9" s="14" t="n">
        <f aca="false">IF(O9=0,W8+1,0)</f>
        <v>0</v>
      </c>
      <c r="X9" s="14" t="n">
        <f aca="false">IF(OR(E9="",F9=""),"",ROUND((10*(E9-1)+10*(2-MIN(F9,2)))/60*100,0))</f>
        <v>50</v>
      </c>
    </row>
    <row r="10" customFormat="false" ht="15" hidden="false" customHeight="false" outlineLevel="0" collapsed="false">
      <c r="A10" s="4" t="s">
        <v>81</v>
      </c>
      <c r="B10" s="4" t="n">
        <v>9</v>
      </c>
      <c r="C10" s="4" t="n">
        <f aca="false">IF(B10&lt;=7,1,2)</f>
        <v>2</v>
      </c>
      <c r="D10" s="11"/>
      <c r="E10" s="12" t="n">
        <v>4</v>
      </c>
      <c r="F10" s="12" t="n">
        <v>0</v>
      </c>
      <c r="G10" s="12" t="n">
        <v>4</v>
      </c>
      <c r="H10" s="12" t="s">
        <v>32</v>
      </c>
      <c r="I10" s="12" t="n">
        <v>3</v>
      </c>
      <c r="J10" s="11"/>
      <c r="K10" s="13" t="n">
        <v>0.805555555555556</v>
      </c>
      <c r="L10" s="13" t="n">
        <v>0.958333333333333</v>
      </c>
      <c r="M10" s="12" t="n">
        <v>1</v>
      </c>
      <c r="N10" s="14" t="n">
        <f aca="false">IF(OR(E10="",F10="",G10=""),"",10*(E10-1)+10*(G10-1)+10*(2-MIN(F10,2)))</f>
        <v>80</v>
      </c>
      <c r="O10" s="14" t="n">
        <f aca="false">IF(AND(N10&lt;&gt;"",I10&lt;&gt;""),1,0)</f>
        <v>1</v>
      </c>
      <c r="P10" s="14" t="n">
        <f aca="false">IF(N10="","",IF(N10&lt;Ngưỡng!$B$4,1,0))</f>
        <v>0</v>
      </c>
      <c r="Q10" s="14" t="n">
        <f aca="false">IF(I10="","",IF(I10&gt;=Ngưỡng!$B$5,1,0))</f>
        <v>0</v>
      </c>
      <c r="R10" s="14" t="n">
        <f aca="false">IF(H10="","",IF(H10&lt;&gt;"Yên",1,0))</f>
        <v>0</v>
      </c>
      <c r="S10" s="14" t="n">
        <f aca="false">IF(K10="","",IF(K10&gt;Ngưỡng!$B$6,1,0))</f>
        <v>0</v>
      </c>
      <c r="T10" s="14" t="n">
        <f aca="false">IF(N10="","",IF(N10&gt;=Ngưỡng!$B$3,1,0))</f>
        <v>1</v>
      </c>
      <c r="U10" s="14" t="n">
        <f aca="false">IF(I10=5,U9+1,0)</f>
        <v>0</v>
      </c>
      <c r="V10" s="14" t="n">
        <f aca="false">IF(AND(F10&lt;&gt;"",F10&gt;=2),V9+1,0)</f>
        <v>0</v>
      </c>
      <c r="W10" s="14" t="n">
        <f aca="false">IF(O10=0,W9+1,0)</f>
        <v>0</v>
      </c>
      <c r="X10" s="14" t="n">
        <f aca="false">IF(OR(E10="",F10=""),"",ROUND((10*(E10-1)+10*(2-MIN(F10,2)))/60*100,0))</f>
        <v>83</v>
      </c>
    </row>
    <row r="11" customFormat="false" ht="15" hidden="false" customHeight="false" outlineLevel="0" collapsed="false">
      <c r="A11" s="4" t="s">
        <v>81</v>
      </c>
      <c r="B11" s="4" t="n">
        <v>10</v>
      </c>
      <c r="C11" s="4" t="n">
        <f aca="false">IF(B11&lt;=7,1,2)</f>
        <v>2</v>
      </c>
      <c r="D11" s="11"/>
      <c r="E11" s="12" t="n">
        <v>5</v>
      </c>
      <c r="F11" s="12" t="n">
        <v>0</v>
      </c>
      <c r="G11" s="12" t="n">
        <v>4</v>
      </c>
      <c r="H11" s="12" t="s">
        <v>32</v>
      </c>
      <c r="I11" s="12" t="n">
        <v>2</v>
      </c>
      <c r="J11" s="11"/>
      <c r="K11" s="13" t="n">
        <v>0.791666666666667</v>
      </c>
      <c r="L11" s="13" t="n">
        <v>0.947916666666667</v>
      </c>
      <c r="M11" s="12" t="n">
        <v>1</v>
      </c>
      <c r="N11" s="14" t="n">
        <f aca="false">IF(OR(E11="",F11="",G11=""),"",10*(E11-1)+10*(G11-1)+10*(2-MIN(F11,2)))</f>
        <v>90</v>
      </c>
      <c r="O11" s="14" t="n">
        <f aca="false">IF(AND(N11&lt;&gt;"",I11&lt;&gt;""),1,0)</f>
        <v>1</v>
      </c>
      <c r="P11" s="14" t="n">
        <f aca="false">IF(N11="","",IF(N11&lt;Ngưỡng!$B$4,1,0))</f>
        <v>0</v>
      </c>
      <c r="Q11" s="14" t="n">
        <f aca="false">IF(I11="","",IF(I11&gt;=Ngưỡng!$B$5,1,0))</f>
        <v>0</v>
      </c>
      <c r="R11" s="14" t="n">
        <f aca="false">IF(H11="","",IF(H11&lt;&gt;"Yên",1,0))</f>
        <v>0</v>
      </c>
      <c r="S11" s="14" t="n">
        <f aca="false">IF(K11="","",IF(K11&gt;Ngưỡng!$B$6,1,0))</f>
        <v>0</v>
      </c>
      <c r="T11" s="14" t="n">
        <f aca="false">IF(N11="","",IF(N11&gt;=Ngưỡng!$B$3,1,0))</f>
        <v>1</v>
      </c>
      <c r="U11" s="14" t="n">
        <f aca="false">IF(I11=5,U10+1,0)</f>
        <v>0</v>
      </c>
      <c r="V11" s="14" t="n">
        <f aca="false">IF(AND(F11&lt;&gt;"",F11&gt;=2),V10+1,0)</f>
        <v>0</v>
      </c>
      <c r="W11" s="14" t="n">
        <f aca="false">IF(O11=0,W10+1,0)</f>
        <v>0</v>
      </c>
      <c r="X11" s="14" t="n">
        <f aca="false">IF(OR(E11="",F11=""),"",ROUND((10*(E11-1)+10*(2-MIN(F11,2)))/60*100,0))</f>
        <v>100</v>
      </c>
    </row>
    <row r="12" customFormat="false" ht="15" hidden="false" customHeight="false" outlineLevel="0" collapsed="false">
      <c r="A12" s="4" t="s">
        <v>81</v>
      </c>
      <c r="B12" s="4" t="n">
        <v>11</v>
      </c>
      <c r="C12" s="4" t="n">
        <f aca="false">IF(B12&lt;=7,1,2)</f>
        <v>2</v>
      </c>
      <c r="D12" s="11"/>
      <c r="E12" s="12" t="n">
        <v>2</v>
      </c>
      <c r="F12" s="12" t="n">
        <v>2</v>
      </c>
      <c r="G12" s="12" t="n">
        <v>2</v>
      </c>
      <c r="H12" s="12" t="s">
        <v>35</v>
      </c>
      <c r="I12" s="12" t="n">
        <v>5</v>
      </c>
      <c r="J12" s="12" t="s">
        <v>24</v>
      </c>
      <c r="K12" s="13" t="n">
        <v>0.8125</v>
      </c>
      <c r="L12" s="13" t="n">
        <v>0.00694444444444444</v>
      </c>
      <c r="M12" s="12" t="n">
        <v>1</v>
      </c>
      <c r="N12" s="14" t="n">
        <f aca="false">IF(OR(E12="",F12="",G12=""),"",10*(E12-1)+10*(G12-1)+10*(2-MIN(F12,2)))</f>
        <v>20</v>
      </c>
      <c r="O12" s="14" t="n">
        <f aca="false">IF(AND(N12&lt;&gt;"",I12&lt;&gt;""),1,0)</f>
        <v>1</v>
      </c>
      <c r="P12" s="14" t="n">
        <f aca="false">IF(N12="","",IF(N12&lt;Ngưỡng!$B$4,1,0))</f>
        <v>1</v>
      </c>
      <c r="Q12" s="14" t="n">
        <f aca="false">IF(I12="","",IF(I12&gt;=Ngưỡng!$B$5,1,0))</f>
        <v>1</v>
      </c>
      <c r="R12" s="14" t="n">
        <f aca="false">IF(H12="","",IF(H12&lt;&gt;"Yên",1,0))</f>
        <v>1</v>
      </c>
      <c r="S12" s="14" t="n">
        <f aca="false">IF(K12="","",IF(K12&gt;Ngưỡng!$B$6,1,0))</f>
        <v>0</v>
      </c>
      <c r="T12" s="14" t="n">
        <f aca="false">IF(N12="","",IF(N12&gt;=Ngưỡng!$B$3,1,0))</f>
        <v>0</v>
      </c>
      <c r="U12" s="14" t="n">
        <f aca="false">IF(I12=5,U11+1,0)</f>
        <v>1</v>
      </c>
      <c r="V12" s="14" t="n">
        <f aca="false">IF(AND(F12&lt;&gt;"",F12&gt;=2),V11+1,0)</f>
        <v>1</v>
      </c>
      <c r="W12" s="14" t="n">
        <f aca="false">IF(O12=0,W11+1,0)</f>
        <v>0</v>
      </c>
      <c r="X12" s="14" t="n">
        <f aca="false">IF(OR(E12="",F12=""),"",ROUND((10*(E12-1)+10*(2-MIN(F12,2)))/60*100,0))</f>
        <v>17</v>
      </c>
    </row>
    <row r="13" customFormat="false" ht="15" hidden="false" customHeight="false" outlineLevel="0" collapsed="false">
      <c r="A13" s="4" t="s">
        <v>81</v>
      </c>
      <c r="B13" s="4" t="n">
        <v>12</v>
      </c>
      <c r="C13" s="4" t="n">
        <f aca="false">IF(B13&lt;=7,1,2)</f>
        <v>2</v>
      </c>
      <c r="D13" s="11"/>
      <c r="E13" s="12" t="n">
        <v>4</v>
      </c>
      <c r="F13" s="12" t="n">
        <v>0</v>
      </c>
      <c r="G13" s="12" t="n">
        <v>4</v>
      </c>
      <c r="H13" s="12" t="s">
        <v>32</v>
      </c>
      <c r="I13" s="12" t="n">
        <v>2</v>
      </c>
      <c r="J13" s="11"/>
      <c r="K13" s="13" t="n">
        <v>0.798611111111111</v>
      </c>
      <c r="L13" s="13" t="n">
        <v>0.958333333333333</v>
      </c>
      <c r="M13" s="12" t="n">
        <v>1</v>
      </c>
      <c r="N13" s="14" t="n">
        <f aca="false">IF(OR(E13="",F13="",G13=""),"",10*(E13-1)+10*(G13-1)+10*(2-MIN(F13,2)))</f>
        <v>80</v>
      </c>
      <c r="O13" s="14" t="n">
        <f aca="false">IF(AND(N13&lt;&gt;"",I13&lt;&gt;""),1,0)</f>
        <v>1</v>
      </c>
      <c r="P13" s="14" t="n">
        <f aca="false">IF(N13="","",IF(N13&lt;Ngưỡng!$B$4,1,0))</f>
        <v>0</v>
      </c>
      <c r="Q13" s="14" t="n">
        <f aca="false">IF(I13="","",IF(I13&gt;=Ngưỡng!$B$5,1,0))</f>
        <v>0</v>
      </c>
      <c r="R13" s="14" t="n">
        <f aca="false">IF(H13="","",IF(H13&lt;&gt;"Yên",1,0))</f>
        <v>0</v>
      </c>
      <c r="S13" s="14" t="n">
        <f aca="false">IF(K13="","",IF(K13&gt;Ngưỡng!$B$6,1,0))</f>
        <v>0</v>
      </c>
      <c r="T13" s="14" t="n">
        <f aca="false">IF(N13="","",IF(N13&gt;=Ngưỡng!$B$3,1,0))</f>
        <v>1</v>
      </c>
      <c r="U13" s="14" t="n">
        <f aca="false">IF(I13=5,U12+1,0)</f>
        <v>0</v>
      </c>
      <c r="V13" s="14" t="n">
        <f aca="false">IF(AND(F13&lt;&gt;"",F13&gt;=2),V12+1,0)</f>
        <v>0</v>
      </c>
      <c r="W13" s="14" t="n">
        <f aca="false">IF(O13=0,W12+1,0)</f>
        <v>0</v>
      </c>
      <c r="X13" s="14" t="n">
        <f aca="false">IF(OR(E13="",F13=""),"",ROUND((10*(E13-1)+10*(2-MIN(F13,2)))/60*100,0))</f>
        <v>83</v>
      </c>
    </row>
    <row r="14" customFormat="false" ht="15" hidden="false" customHeight="false" outlineLevel="0" collapsed="false">
      <c r="A14" s="4" t="s">
        <v>81</v>
      </c>
      <c r="B14" s="4" t="n">
        <v>13</v>
      </c>
      <c r="C14" s="4" t="n">
        <f aca="false">IF(B14&lt;=7,1,2)</f>
        <v>2</v>
      </c>
      <c r="D14" s="11"/>
      <c r="E14" s="12" t="n">
        <v>5</v>
      </c>
      <c r="F14" s="12" t="n">
        <v>0</v>
      </c>
      <c r="G14" s="12" t="n">
        <v>4</v>
      </c>
      <c r="H14" s="12" t="s">
        <v>32</v>
      </c>
      <c r="I14" s="12" t="n">
        <v>3</v>
      </c>
      <c r="J14" s="11"/>
      <c r="K14" s="13" t="n">
        <v>0.791666666666667</v>
      </c>
      <c r="L14" s="13" t="n">
        <v>0.951388888888889</v>
      </c>
      <c r="M14" s="12" t="n">
        <v>1</v>
      </c>
      <c r="N14" s="14" t="n">
        <f aca="false">IF(OR(E14="",F14="",G14=""),"",10*(E14-1)+10*(G14-1)+10*(2-MIN(F14,2)))</f>
        <v>90</v>
      </c>
      <c r="O14" s="14" t="n">
        <f aca="false">IF(AND(N14&lt;&gt;"",I14&lt;&gt;""),1,0)</f>
        <v>1</v>
      </c>
      <c r="P14" s="14" t="n">
        <f aca="false">IF(N14="","",IF(N14&lt;Ngưỡng!$B$4,1,0))</f>
        <v>0</v>
      </c>
      <c r="Q14" s="14" t="n">
        <f aca="false">IF(I14="","",IF(I14&gt;=Ngưỡng!$B$5,1,0))</f>
        <v>0</v>
      </c>
      <c r="R14" s="14" t="n">
        <f aca="false">IF(H14="","",IF(H14&lt;&gt;"Yên",1,0))</f>
        <v>0</v>
      </c>
      <c r="S14" s="14" t="n">
        <f aca="false">IF(K14="","",IF(K14&gt;Ngưỡng!$B$6,1,0))</f>
        <v>0</v>
      </c>
      <c r="T14" s="14" t="n">
        <f aca="false">IF(N14="","",IF(N14&gt;=Ngưỡng!$B$3,1,0))</f>
        <v>1</v>
      </c>
      <c r="U14" s="14" t="n">
        <f aca="false">IF(I14=5,U13+1,0)</f>
        <v>0</v>
      </c>
      <c r="V14" s="14" t="n">
        <f aca="false">IF(AND(F14&lt;&gt;"",F14&gt;=2),V13+1,0)</f>
        <v>0</v>
      </c>
      <c r="W14" s="14" t="n">
        <f aca="false">IF(O14=0,W13+1,0)</f>
        <v>0</v>
      </c>
      <c r="X14" s="14" t="n">
        <f aca="false">IF(OR(E14="",F14=""),"",ROUND((10*(E14-1)+10*(2-MIN(F14,2)))/60*100,0))</f>
        <v>100</v>
      </c>
    </row>
    <row r="15" customFormat="false" ht="15" hidden="false" customHeight="false" outlineLevel="0" collapsed="false">
      <c r="A15" s="4" t="s">
        <v>81</v>
      </c>
      <c r="B15" s="4" t="n">
        <v>14</v>
      </c>
      <c r="C15" s="4" t="n">
        <f aca="false">IF(B15&lt;=7,1,2)</f>
        <v>2</v>
      </c>
      <c r="D15" s="11"/>
      <c r="E15" s="12" t="n">
        <v>4</v>
      </c>
      <c r="F15" s="12" t="n">
        <v>1</v>
      </c>
      <c r="G15" s="12" t="n">
        <v>3</v>
      </c>
      <c r="H15" s="12" t="s">
        <v>33</v>
      </c>
      <c r="I15" s="12" t="n">
        <v>4</v>
      </c>
      <c r="J15" s="12" t="s">
        <v>24</v>
      </c>
      <c r="K15" s="13" t="n">
        <v>0.8125</v>
      </c>
      <c r="L15" s="13" t="n">
        <v>0.972222222222222</v>
      </c>
      <c r="M15" s="12" t="n">
        <v>0</v>
      </c>
      <c r="N15" s="14" t="n">
        <f aca="false">IF(OR(E15="",F15="",G15=""),"",10*(E15-1)+10*(G15-1)+10*(2-MIN(F15,2)))</f>
        <v>60</v>
      </c>
      <c r="O15" s="14" t="n">
        <f aca="false">IF(AND(N15&lt;&gt;"",I15&lt;&gt;""),1,0)</f>
        <v>1</v>
      </c>
      <c r="P15" s="14" t="n">
        <f aca="false">IF(N15="","",IF(N15&lt;Ngưỡng!$B$4,1,0))</f>
        <v>0</v>
      </c>
      <c r="Q15" s="14" t="n">
        <f aca="false">IF(I15="","",IF(I15&gt;=Ngưỡng!$B$5,1,0))</f>
        <v>1</v>
      </c>
      <c r="R15" s="14" t="n">
        <f aca="false">IF(H15="","",IF(H15&lt;&gt;"Yên",1,0))</f>
        <v>1</v>
      </c>
      <c r="S15" s="14" t="n">
        <f aca="false">IF(K15="","",IF(K15&gt;Ngưỡng!$B$6,1,0))</f>
        <v>0</v>
      </c>
      <c r="T15" s="14" t="n">
        <f aca="false">IF(N15="","",IF(N15&gt;=Ngưỡng!$B$3,1,0))</f>
        <v>0</v>
      </c>
      <c r="U15" s="14" t="n">
        <f aca="false">IF(I15=5,U14+1,0)</f>
        <v>0</v>
      </c>
      <c r="V15" s="14" t="n">
        <f aca="false">IF(AND(F15&lt;&gt;"",F15&gt;=2),V14+1,0)</f>
        <v>0</v>
      </c>
      <c r="W15" s="14" t="n">
        <f aca="false">IF(O15=0,W14+1,0)</f>
        <v>0</v>
      </c>
      <c r="X15" s="14" t="n">
        <f aca="false">IF(OR(E15="",F15=""),"",ROUND((10*(E15-1)+10*(2-MIN(F15,2)))/60*100,0))</f>
        <v>67</v>
      </c>
    </row>
    <row r="16" customFormat="false" ht="15" hidden="false" customHeight="false" outlineLevel="0" collapsed="false">
      <c r="A16" s="4" t="s">
        <v>82</v>
      </c>
      <c r="B16" s="4" t="n">
        <v>1</v>
      </c>
      <c r="C16" s="4" t="n">
        <f aca="false">IF(B16&lt;=7,1,2)</f>
        <v>1</v>
      </c>
      <c r="D16" s="11"/>
      <c r="E16" s="12" t="n">
        <v>3</v>
      </c>
      <c r="F16" s="12" t="n">
        <v>1</v>
      </c>
      <c r="G16" s="12" t="n">
        <v>2</v>
      </c>
      <c r="H16" s="12" t="s">
        <v>32</v>
      </c>
      <c r="I16" s="12" t="n">
        <v>2</v>
      </c>
      <c r="J16" s="11"/>
      <c r="K16" s="13" t="n">
        <v>0.875</v>
      </c>
      <c r="L16" s="13" t="n">
        <v>0.993055555555556</v>
      </c>
      <c r="M16" s="11"/>
      <c r="N16" s="14" t="n">
        <f aca="false">IF(OR(E16="",F16="",G16=""),"",10*(E16-1)+10*(G16-1)+10*(2-MIN(F16,2)))</f>
        <v>40</v>
      </c>
      <c r="O16" s="14" t="n">
        <f aca="false">IF(AND(N16&lt;&gt;"",I16&lt;&gt;""),1,0)</f>
        <v>1</v>
      </c>
      <c r="P16" s="14" t="n">
        <f aca="false">IF(N16="","",IF(N16&lt;Ngưỡng!$B$4,1,0))</f>
        <v>1</v>
      </c>
      <c r="Q16" s="14" t="n">
        <f aca="false">IF(I16="","",IF(I16&gt;=Ngưỡng!$B$5,1,0))</f>
        <v>0</v>
      </c>
      <c r="R16" s="14" t="n">
        <f aca="false">IF(H16="","",IF(H16&lt;&gt;"Yên",1,0))</f>
        <v>0</v>
      </c>
      <c r="S16" s="14" t="n">
        <f aca="false">IF(K16="","",IF(K16&gt;Ngưỡng!$B$6,1,0))</f>
        <v>1</v>
      </c>
      <c r="T16" s="14" t="n">
        <f aca="false">IF(N16="","",IF(N16&gt;=Ngưỡng!$B$3,1,0))</f>
        <v>0</v>
      </c>
      <c r="U16" s="14" t="n">
        <f aca="false">IF(I16=5,0+1,0)</f>
        <v>0</v>
      </c>
      <c r="V16" s="14" t="n">
        <f aca="false">IF(AND(F16&lt;&gt;"",F16&gt;=2),0+1,0)</f>
        <v>0</v>
      </c>
      <c r="W16" s="14" t="n">
        <f aca="false">IF(O16=0,0+1,0)</f>
        <v>0</v>
      </c>
      <c r="X16" s="14" t="n">
        <f aca="false">IF(OR(E16="",F16=""),"",ROUND((10*(E16-1)+10*(2-MIN(F16,2)))/60*100,0))</f>
        <v>50</v>
      </c>
    </row>
    <row r="17" customFormat="false" ht="15" hidden="false" customHeight="false" outlineLevel="0" collapsed="false">
      <c r="A17" s="4" t="s">
        <v>82</v>
      </c>
      <c r="B17" s="4" t="n">
        <v>2</v>
      </c>
      <c r="C17" s="4" t="n">
        <f aca="false">IF(B17&lt;=7,1,2)</f>
        <v>1</v>
      </c>
      <c r="D17" s="11"/>
      <c r="E17" s="12" t="n">
        <v>3</v>
      </c>
      <c r="F17" s="12" t="n">
        <v>1</v>
      </c>
      <c r="G17" s="12" t="n">
        <v>2</v>
      </c>
      <c r="H17" s="12" t="s">
        <v>32</v>
      </c>
      <c r="I17" s="12" t="n">
        <v>3</v>
      </c>
      <c r="J17" s="11"/>
      <c r="K17" s="13" t="n">
        <v>0.864583333333333</v>
      </c>
      <c r="L17" s="13" t="n">
        <v>0.989583333333333</v>
      </c>
      <c r="M17" s="11"/>
      <c r="N17" s="14" t="n">
        <f aca="false">IF(OR(E17="",F17="",G17=""),"",10*(E17-1)+10*(G17-1)+10*(2-MIN(F17,2)))</f>
        <v>40</v>
      </c>
      <c r="O17" s="14" t="n">
        <f aca="false">IF(AND(N17&lt;&gt;"",I17&lt;&gt;""),1,0)</f>
        <v>1</v>
      </c>
      <c r="P17" s="14" t="n">
        <f aca="false">IF(N17="","",IF(N17&lt;Ngưỡng!$B$4,1,0))</f>
        <v>1</v>
      </c>
      <c r="Q17" s="14" t="n">
        <f aca="false">IF(I17="","",IF(I17&gt;=Ngưỡng!$B$5,1,0))</f>
        <v>0</v>
      </c>
      <c r="R17" s="14" t="n">
        <f aca="false">IF(H17="","",IF(H17&lt;&gt;"Yên",1,0))</f>
        <v>0</v>
      </c>
      <c r="S17" s="14" t="n">
        <f aca="false">IF(K17="","",IF(K17&gt;Ngưỡng!$B$6,1,0))</f>
        <v>1</v>
      </c>
      <c r="T17" s="14" t="n">
        <f aca="false">IF(N17="","",IF(N17&gt;=Ngưỡng!$B$3,1,0))</f>
        <v>0</v>
      </c>
      <c r="U17" s="14" t="n">
        <f aca="false">IF(I17=5,U16+1,0)</f>
        <v>0</v>
      </c>
      <c r="V17" s="14" t="n">
        <f aca="false">IF(AND(F17&lt;&gt;"",F17&gt;=2),V16+1,0)</f>
        <v>0</v>
      </c>
      <c r="W17" s="14" t="n">
        <f aca="false">IF(O17=0,W16+1,0)</f>
        <v>0</v>
      </c>
      <c r="X17" s="14" t="n">
        <f aca="false">IF(OR(E17="",F17=""),"",ROUND((10*(E17-1)+10*(2-MIN(F17,2)))/60*100,0))</f>
        <v>50</v>
      </c>
    </row>
    <row r="18" customFormat="false" ht="15" hidden="false" customHeight="false" outlineLevel="0" collapsed="false">
      <c r="A18" s="4" t="s">
        <v>82</v>
      </c>
      <c r="B18" s="4" t="n">
        <v>3</v>
      </c>
      <c r="C18" s="4" t="n">
        <f aca="false">IF(B18&lt;=7,1,2)</f>
        <v>1</v>
      </c>
      <c r="D18" s="11"/>
      <c r="E18" s="12" t="n">
        <v>2</v>
      </c>
      <c r="F18" s="12" t="n">
        <v>1</v>
      </c>
      <c r="G18" s="12" t="n">
        <v>1</v>
      </c>
      <c r="H18" s="12" t="s">
        <v>32</v>
      </c>
      <c r="I18" s="12" t="n">
        <v>2</v>
      </c>
      <c r="J18" s="11"/>
      <c r="K18" s="13" t="n">
        <v>0.885416666666667</v>
      </c>
      <c r="L18" s="13" t="n">
        <v>0</v>
      </c>
      <c r="M18" s="11"/>
      <c r="N18" s="14" t="n">
        <f aca="false">IF(OR(E18="",F18="",G18=""),"",10*(E18-1)+10*(G18-1)+10*(2-MIN(F18,2)))</f>
        <v>20</v>
      </c>
      <c r="O18" s="14" t="n">
        <f aca="false">IF(AND(N18&lt;&gt;"",I18&lt;&gt;""),1,0)</f>
        <v>1</v>
      </c>
      <c r="P18" s="14" t="n">
        <f aca="false">IF(N18="","",IF(N18&lt;Ngưỡng!$B$4,1,0))</f>
        <v>1</v>
      </c>
      <c r="Q18" s="14" t="n">
        <f aca="false">IF(I18="","",IF(I18&gt;=Ngưỡng!$B$5,1,0))</f>
        <v>0</v>
      </c>
      <c r="R18" s="14" t="n">
        <f aca="false">IF(H18="","",IF(H18&lt;&gt;"Yên",1,0))</f>
        <v>0</v>
      </c>
      <c r="S18" s="14" t="n">
        <f aca="false">IF(K18="","",IF(K18&gt;Ngưỡng!$B$6,1,0))</f>
        <v>1</v>
      </c>
      <c r="T18" s="14" t="n">
        <f aca="false">IF(N18="","",IF(N18&gt;=Ngưỡng!$B$3,1,0))</f>
        <v>0</v>
      </c>
      <c r="U18" s="14" t="n">
        <f aca="false">IF(I18=5,U17+1,0)</f>
        <v>0</v>
      </c>
      <c r="V18" s="14" t="n">
        <f aca="false">IF(AND(F18&lt;&gt;"",F18&gt;=2),V17+1,0)</f>
        <v>0</v>
      </c>
      <c r="W18" s="14" t="n">
        <f aca="false">IF(O18=0,W17+1,0)</f>
        <v>0</v>
      </c>
      <c r="X18" s="14" t="n">
        <f aca="false">IF(OR(E18="",F18=""),"",ROUND((10*(E18-1)+10*(2-MIN(F18,2)))/60*100,0))</f>
        <v>33</v>
      </c>
    </row>
    <row r="19" customFormat="false" ht="15" hidden="false" customHeight="false" outlineLevel="0" collapsed="false">
      <c r="A19" s="4" t="s">
        <v>82</v>
      </c>
      <c r="B19" s="4" t="n">
        <v>4</v>
      </c>
      <c r="C19" s="4" t="n">
        <f aca="false">IF(B19&lt;=7,1,2)</f>
        <v>1</v>
      </c>
      <c r="D19" s="11"/>
      <c r="E19" s="12" t="n">
        <v>3</v>
      </c>
      <c r="F19" s="12" t="n">
        <v>0</v>
      </c>
      <c r="G19" s="12" t="n">
        <v>2</v>
      </c>
      <c r="H19" s="12" t="s">
        <v>32</v>
      </c>
      <c r="I19" s="12" t="n">
        <v>2</v>
      </c>
      <c r="J19" s="11"/>
      <c r="K19" s="13" t="n">
        <v>0.854166666666667</v>
      </c>
      <c r="L19" s="13" t="n">
        <v>0.979166666666667</v>
      </c>
      <c r="M19" s="11"/>
      <c r="N19" s="14" t="n">
        <f aca="false">IF(OR(E19="",F19="",G19=""),"",10*(E19-1)+10*(G19-1)+10*(2-MIN(F19,2)))</f>
        <v>50</v>
      </c>
      <c r="O19" s="14" t="n">
        <f aca="false">IF(AND(N19&lt;&gt;"",I19&lt;&gt;""),1,0)</f>
        <v>1</v>
      </c>
      <c r="P19" s="14" t="n">
        <f aca="false">IF(N19="","",IF(N19&lt;Ngưỡng!$B$4,1,0))</f>
        <v>1</v>
      </c>
      <c r="Q19" s="14" t="n">
        <f aca="false">IF(I19="","",IF(I19&gt;=Ngưỡng!$B$5,1,0))</f>
        <v>0</v>
      </c>
      <c r="R19" s="14" t="n">
        <f aca="false">IF(H19="","",IF(H19&lt;&gt;"Yên",1,0))</f>
        <v>0</v>
      </c>
      <c r="S19" s="14" t="n">
        <f aca="false">IF(K19="","",IF(K19&gt;Ngưỡng!$B$6,1,0))</f>
        <v>1</v>
      </c>
      <c r="T19" s="14" t="n">
        <f aca="false">IF(N19="","",IF(N19&gt;=Ngưỡng!$B$3,1,0))</f>
        <v>0</v>
      </c>
      <c r="U19" s="14" t="n">
        <f aca="false">IF(I19=5,U18+1,0)</f>
        <v>0</v>
      </c>
      <c r="V19" s="14" t="n">
        <f aca="false">IF(AND(F19&lt;&gt;"",F19&gt;=2),V18+1,0)</f>
        <v>0</v>
      </c>
      <c r="W19" s="14" t="n">
        <f aca="false">IF(O19=0,W18+1,0)</f>
        <v>0</v>
      </c>
      <c r="X19" s="14" t="n">
        <f aca="false">IF(OR(E19="",F19=""),"",ROUND((10*(E19-1)+10*(2-MIN(F19,2)))/60*100,0))</f>
        <v>67</v>
      </c>
    </row>
    <row r="20" customFormat="false" ht="15" hidden="false" customHeight="false" outlineLevel="0" collapsed="false">
      <c r="A20" s="4" t="s">
        <v>82</v>
      </c>
      <c r="B20" s="4" t="n">
        <v>5</v>
      </c>
      <c r="C20" s="4" t="n">
        <f aca="false">IF(B20&lt;=7,1,2)</f>
        <v>1</v>
      </c>
      <c r="D20" s="11"/>
      <c r="E20" s="12" t="n">
        <v>3</v>
      </c>
      <c r="F20" s="12" t="n">
        <v>1</v>
      </c>
      <c r="G20" s="12" t="n">
        <v>2</v>
      </c>
      <c r="H20" s="12" t="s">
        <v>32</v>
      </c>
      <c r="I20" s="12" t="n">
        <v>3</v>
      </c>
      <c r="J20" s="11"/>
      <c r="K20" s="13" t="n">
        <v>0.833333333333333</v>
      </c>
      <c r="L20" s="13" t="n">
        <v>0.979166666666667</v>
      </c>
      <c r="M20" s="12" t="n">
        <v>1</v>
      </c>
      <c r="N20" s="14" t="n">
        <f aca="false">IF(OR(E20="",F20="",G20=""),"",10*(E20-1)+10*(G20-1)+10*(2-MIN(F20,2)))</f>
        <v>40</v>
      </c>
      <c r="O20" s="14" t="n">
        <f aca="false">IF(AND(N20&lt;&gt;"",I20&lt;&gt;""),1,0)</f>
        <v>1</v>
      </c>
      <c r="P20" s="14" t="n">
        <f aca="false">IF(N20="","",IF(N20&lt;Ngưỡng!$B$4,1,0))</f>
        <v>1</v>
      </c>
      <c r="Q20" s="14" t="n">
        <f aca="false">IF(I20="","",IF(I20&gt;=Ngưỡng!$B$5,1,0))</f>
        <v>0</v>
      </c>
      <c r="R20" s="14" t="n">
        <f aca="false">IF(H20="","",IF(H20&lt;&gt;"Yên",1,0))</f>
        <v>0</v>
      </c>
      <c r="S20" s="14" t="n">
        <f aca="false">IF(K20="","",IF(K20&gt;Ngưỡng!$B$6,1,0))</f>
        <v>0</v>
      </c>
      <c r="T20" s="14" t="n">
        <f aca="false">IF(N20="","",IF(N20&gt;=Ngưỡng!$B$3,1,0))</f>
        <v>0</v>
      </c>
      <c r="U20" s="14" t="n">
        <f aca="false">IF(I20=5,U19+1,0)</f>
        <v>0</v>
      </c>
      <c r="V20" s="14" t="n">
        <f aca="false">IF(AND(F20&lt;&gt;"",F20&gt;=2),V19+1,0)</f>
        <v>0</v>
      </c>
      <c r="W20" s="14" t="n">
        <f aca="false">IF(O20=0,W19+1,0)</f>
        <v>0</v>
      </c>
      <c r="X20" s="14" t="n">
        <f aca="false">IF(OR(E20="",F20=""),"",ROUND((10*(E20-1)+10*(2-MIN(F20,2)))/60*100,0))</f>
        <v>50</v>
      </c>
    </row>
    <row r="21" customFormat="false" ht="15" hidden="false" customHeight="false" outlineLevel="0" collapsed="false">
      <c r="A21" s="4" t="s">
        <v>82</v>
      </c>
      <c r="B21" s="4" t="n">
        <v>6</v>
      </c>
      <c r="C21" s="4" t="n">
        <f aca="false">IF(B21&lt;=7,1,2)</f>
        <v>1</v>
      </c>
      <c r="D21" s="11"/>
      <c r="E21" s="12" t="n">
        <v>4</v>
      </c>
      <c r="F21" s="12" t="n">
        <v>0</v>
      </c>
      <c r="G21" s="12" t="n">
        <v>2</v>
      </c>
      <c r="H21" s="12" t="s">
        <v>32</v>
      </c>
      <c r="I21" s="12" t="n">
        <v>2</v>
      </c>
      <c r="J21" s="11"/>
      <c r="K21" s="13" t="n">
        <v>0.8125</v>
      </c>
      <c r="L21" s="13" t="n">
        <v>0.958333333333333</v>
      </c>
      <c r="M21" s="12" t="n">
        <v>1</v>
      </c>
      <c r="N21" s="14" t="n">
        <f aca="false">IF(OR(E21="",F21="",G21=""),"",10*(E21-1)+10*(G21-1)+10*(2-MIN(F21,2)))</f>
        <v>60</v>
      </c>
      <c r="O21" s="14" t="n">
        <f aca="false">IF(AND(N21&lt;&gt;"",I21&lt;&gt;""),1,0)</f>
        <v>1</v>
      </c>
      <c r="P21" s="14" t="n">
        <f aca="false">IF(N21="","",IF(N21&lt;Ngưỡng!$B$4,1,0))</f>
        <v>0</v>
      </c>
      <c r="Q21" s="14" t="n">
        <f aca="false">IF(I21="","",IF(I21&gt;=Ngưỡng!$B$5,1,0))</f>
        <v>0</v>
      </c>
      <c r="R21" s="14" t="n">
        <f aca="false">IF(H21="","",IF(H21&lt;&gt;"Yên",1,0))</f>
        <v>0</v>
      </c>
      <c r="S21" s="14" t="n">
        <f aca="false">IF(K21="","",IF(K21&gt;Ngưỡng!$B$6,1,0))</f>
        <v>0</v>
      </c>
      <c r="T21" s="14" t="n">
        <f aca="false">IF(N21="","",IF(N21&gt;=Ngưỡng!$B$3,1,0))</f>
        <v>0</v>
      </c>
      <c r="U21" s="14" t="n">
        <f aca="false">IF(I21=5,U20+1,0)</f>
        <v>0</v>
      </c>
      <c r="V21" s="14" t="n">
        <f aca="false">IF(AND(F21&lt;&gt;"",F21&gt;=2),V20+1,0)</f>
        <v>0</v>
      </c>
      <c r="W21" s="14" t="n">
        <f aca="false">IF(O21=0,W20+1,0)</f>
        <v>0</v>
      </c>
      <c r="X21" s="14" t="n">
        <f aca="false">IF(OR(E21="",F21=""),"",ROUND((10*(E21-1)+10*(2-MIN(F21,2)))/60*100,0))</f>
        <v>83</v>
      </c>
    </row>
    <row r="22" customFormat="false" ht="15" hidden="false" customHeight="false" outlineLevel="0" collapsed="false">
      <c r="A22" s="4" t="s">
        <v>82</v>
      </c>
      <c r="B22" s="4" t="n">
        <v>7</v>
      </c>
      <c r="C22" s="4" t="n">
        <f aca="false">IF(B22&lt;=7,1,2)</f>
        <v>1</v>
      </c>
      <c r="D22" s="11"/>
      <c r="E22" s="12" t="n">
        <v>4</v>
      </c>
      <c r="F22" s="12" t="n">
        <v>0</v>
      </c>
      <c r="G22" s="12" t="n">
        <v>2</v>
      </c>
      <c r="H22" s="12" t="s">
        <v>32</v>
      </c>
      <c r="I22" s="12" t="n">
        <v>2</v>
      </c>
      <c r="J22" s="11"/>
      <c r="K22" s="13" t="n">
        <v>0.8125</v>
      </c>
      <c r="L22" s="13" t="n">
        <v>0.958333333333333</v>
      </c>
      <c r="M22" s="12" t="n">
        <v>1</v>
      </c>
      <c r="N22" s="14" t="n">
        <f aca="false">IF(OR(E22="",F22="",G22=""),"",10*(E22-1)+10*(G22-1)+10*(2-MIN(F22,2)))</f>
        <v>60</v>
      </c>
      <c r="O22" s="14" t="n">
        <f aca="false">IF(AND(N22&lt;&gt;"",I22&lt;&gt;""),1,0)</f>
        <v>1</v>
      </c>
      <c r="P22" s="14" t="n">
        <f aca="false">IF(N22="","",IF(N22&lt;Ngưỡng!$B$4,1,0))</f>
        <v>0</v>
      </c>
      <c r="Q22" s="14" t="n">
        <f aca="false">IF(I22="","",IF(I22&gt;=Ngưỡng!$B$5,1,0))</f>
        <v>0</v>
      </c>
      <c r="R22" s="14" t="n">
        <f aca="false">IF(H22="","",IF(H22&lt;&gt;"Yên",1,0))</f>
        <v>0</v>
      </c>
      <c r="S22" s="14" t="n">
        <f aca="false">IF(K22="","",IF(K22&gt;Ngưỡng!$B$6,1,0))</f>
        <v>0</v>
      </c>
      <c r="T22" s="14" t="n">
        <f aca="false">IF(N22="","",IF(N22&gt;=Ngưỡng!$B$3,1,0))</f>
        <v>0</v>
      </c>
      <c r="U22" s="14" t="n">
        <f aca="false">IF(I22=5,U21+1,0)</f>
        <v>0</v>
      </c>
      <c r="V22" s="14" t="n">
        <f aca="false">IF(AND(F22&lt;&gt;"",F22&gt;=2),V21+1,0)</f>
        <v>0</v>
      </c>
      <c r="W22" s="14" t="n">
        <f aca="false">IF(O22=0,W21+1,0)</f>
        <v>0</v>
      </c>
      <c r="X22" s="14" t="n">
        <f aca="false">IF(OR(E22="",F22=""),"",ROUND((10*(E22-1)+10*(2-MIN(F22,2)))/60*100,0))</f>
        <v>83</v>
      </c>
    </row>
    <row r="23" customFormat="false" ht="15" hidden="false" customHeight="false" outlineLevel="0" collapsed="false">
      <c r="A23" s="4" t="s">
        <v>82</v>
      </c>
      <c r="B23" s="4" t="n">
        <v>8</v>
      </c>
      <c r="C23" s="4" t="n">
        <f aca="false">IF(B23&lt;=7,1,2)</f>
        <v>2</v>
      </c>
      <c r="D23" s="11"/>
      <c r="E23" s="12" t="n">
        <v>4</v>
      </c>
      <c r="F23" s="12" t="n">
        <v>0</v>
      </c>
      <c r="G23" s="12" t="n">
        <v>2</v>
      </c>
      <c r="H23" s="12" t="s">
        <v>32</v>
      </c>
      <c r="I23" s="12" t="n">
        <v>3</v>
      </c>
      <c r="J23" s="11"/>
      <c r="K23" s="13" t="n">
        <v>0.802083333333333</v>
      </c>
      <c r="L23" s="13" t="n">
        <v>0.958333333333333</v>
      </c>
      <c r="M23" s="12" t="n">
        <v>1</v>
      </c>
      <c r="N23" s="14" t="n">
        <f aca="false">IF(OR(E23="",F23="",G23=""),"",10*(E23-1)+10*(G23-1)+10*(2-MIN(F23,2)))</f>
        <v>60</v>
      </c>
      <c r="O23" s="14" t="n">
        <f aca="false">IF(AND(N23&lt;&gt;"",I23&lt;&gt;""),1,0)</f>
        <v>1</v>
      </c>
      <c r="P23" s="14" t="n">
        <f aca="false">IF(N23="","",IF(N23&lt;Ngưỡng!$B$4,1,0))</f>
        <v>0</v>
      </c>
      <c r="Q23" s="14" t="n">
        <f aca="false">IF(I23="","",IF(I23&gt;=Ngưỡng!$B$5,1,0))</f>
        <v>0</v>
      </c>
      <c r="R23" s="14" t="n">
        <f aca="false">IF(H23="","",IF(H23&lt;&gt;"Yên",1,0))</f>
        <v>0</v>
      </c>
      <c r="S23" s="14" t="n">
        <f aca="false">IF(K23="","",IF(K23&gt;Ngưỡng!$B$6,1,0))</f>
        <v>0</v>
      </c>
      <c r="T23" s="14" t="n">
        <f aca="false">IF(N23="","",IF(N23&gt;=Ngưỡng!$B$3,1,0))</f>
        <v>0</v>
      </c>
      <c r="U23" s="14" t="n">
        <f aca="false">IF(I23=5,U22+1,0)</f>
        <v>0</v>
      </c>
      <c r="V23" s="14" t="n">
        <f aca="false">IF(AND(F23&lt;&gt;"",F23&gt;=2),V22+1,0)</f>
        <v>0</v>
      </c>
      <c r="W23" s="14" t="n">
        <f aca="false">IF(O23=0,W22+1,0)</f>
        <v>0</v>
      </c>
      <c r="X23" s="14" t="n">
        <f aca="false">IF(OR(E23="",F23=""),"",ROUND((10*(E23-1)+10*(2-MIN(F23,2)))/60*100,0))</f>
        <v>83</v>
      </c>
    </row>
    <row r="24" customFormat="false" ht="15" hidden="false" customHeight="false" outlineLevel="0" collapsed="false">
      <c r="A24" s="4" t="s">
        <v>82</v>
      </c>
      <c r="B24" s="4" t="n">
        <v>9</v>
      </c>
      <c r="C24" s="4" t="n">
        <f aca="false">IF(B24&lt;=7,1,2)</f>
        <v>2</v>
      </c>
      <c r="D24" s="11"/>
      <c r="E24" s="12" t="n">
        <v>5</v>
      </c>
      <c r="F24" s="12" t="n">
        <v>0</v>
      </c>
      <c r="G24" s="12" t="n">
        <v>3</v>
      </c>
      <c r="H24" s="12" t="s">
        <v>32</v>
      </c>
      <c r="I24" s="12" t="n">
        <v>2</v>
      </c>
      <c r="J24" s="11"/>
      <c r="K24" s="13" t="n">
        <v>0.791666666666667</v>
      </c>
      <c r="L24" s="13" t="n">
        <v>0.947916666666667</v>
      </c>
      <c r="M24" s="12" t="n">
        <v>1</v>
      </c>
      <c r="N24" s="14" t="n">
        <f aca="false">IF(OR(E24="",F24="",G24=""),"",10*(E24-1)+10*(G24-1)+10*(2-MIN(F24,2)))</f>
        <v>80</v>
      </c>
      <c r="O24" s="14" t="n">
        <f aca="false">IF(AND(N24&lt;&gt;"",I24&lt;&gt;""),1,0)</f>
        <v>1</v>
      </c>
      <c r="P24" s="14" t="n">
        <f aca="false">IF(N24="","",IF(N24&lt;Ngưỡng!$B$4,1,0))</f>
        <v>0</v>
      </c>
      <c r="Q24" s="14" t="n">
        <f aca="false">IF(I24="","",IF(I24&gt;=Ngưỡng!$B$5,1,0))</f>
        <v>0</v>
      </c>
      <c r="R24" s="14" t="n">
        <f aca="false">IF(H24="","",IF(H24&lt;&gt;"Yên",1,0))</f>
        <v>0</v>
      </c>
      <c r="S24" s="14" t="n">
        <f aca="false">IF(K24="","",IF(K24&gt;Ngưỡng!$B$6,1,0))</f>
        <v>0</v>
      </c>
      <c r="T24" s="14" t="n">
        <f aca="false">IF(N24="","",IF(N24&gt;=Ngưỡng!$B$3,1,0))</f>
        <v>1</v>
      </c>
      <c r="U24" s="14" t="n">
        <f aca="false">IF(I24=5,U23+1,0)</f>
        <v>0</v>
      </c>
      <c r="V24" s="14" t="n">
        <f aca="false">IF(AND(F24&lt;&gt;"",F24&gt;=2),V23+1,0)</f>
        <v>0</v>
      </c>
      <c r="W24" s="14" t="n">
        <f aca="false">IF(O24=0,W23+1,0)</f>
        <v>0</v>
      </c>
      <c r="X24" s="14" t="n">
        <f aca="false">IF(OR(E24="",F24=""),"",ROUND((10*(E24-1)+10*(2-MIN(F24,2)))/60*100,0))</f>
        <v>100</v>
      </c>
    </row>
    <row r="25" customFormat="false" ht="15" hidden="false" customHeight="false" outlineLevel="0" collapsed="false">
      <c r="A25" s="4" t="s">
        <v>82</v>
      </c>
      <c r="B25" s="4" t="n">
        <v>10</v>
      </c>
      <c r="C25" s="4" t="n">
        <f aca="false">IF(B25&lt;=7,1,2)</f>
        <v>2</v>
      </c>
      <c r="D25" s="11"/>
      <c r="E25" s="12" t="n">
        <v>4</v>
      </c>
      <c r="F25" s="12" t="n">
        <v>0</v>
      </c>
      <c r="G25" s="12" t="n">
        <v>2</v>
      </c>
      <c r="H25" s="12" t="s">
        <v>32</v>
      </c>
      <c r="I25" s="12" t="n">
        <v>2</v>
      </c>
      <c r="J25" s="11"/>
      <c r="K25" s="13" t="n">
        <v>0.8125</v>
      </c>
      <c r="L25" s="13" t="n">
        <v>0.958333333333333</v>
      </c>
      <c r="M25" s="12" t="n">
        <v>1</v>
      </c>
      <c r="N25" s="14" t="n">
        <f aca="false">IF(OR(E25="",F25="",G25=""),"",10*(E25-1)+10*(G25-1)+10*(2-MIN(F25,2)))</f>
        <v>60</v>
      </c>
      <c r="O25" s="14" t="n">
        <f aca="false">IF(AND(N25&lt;&gt;"",I25&lt;&gt;""),1,0)</f>
        <v>1</v>
      </c>
      <c r="P25" s="14" t="n">
        <f aca="false">IF(N25="","",IF(N25&lt;Ngưỡng!$B$4,1,0))</f>
        <v>0</v>
      </c>
      <c r="Q25" s="14" t="n">
        <f aca="false">IF(I25="","",IF(I25&gt;=Ngưỡng!$B$5,1,0))</f>
        <v>0</v>
      </c>
      <c r="R25" s="14" t="n">
        <f aca="false">IF(H25="","",IF(H25&lt;&gt;"Yên",1,0))</f>
        <v>0</v>
      </c>
      <c r="S25" s="14" t="n">
        <f aca="false">IF(K25="","",IF(K25&gt;Ngưỡng!$B$6,1,0))</f>
        <v>0</v>
      </c>
      <c r="T25" s="14" t="n">
        <f aca="false">IF(N25="","",IF(N25&gt;=Ngưỡng!$B$3,1,0))</f>
        <v>0</v>
      </c>
      <c r="U25" s="14" t="n">
        <f aca="false">IF(I25=5,U24+1,0)</f>
        <v>0</v>
      </c>
      <c r="V25" s="14" t="n">
        <f aca="false">IF(AND(F25&lt;&gt;"",F25&gt;=2),V24+1,0)</f>
        <v>0</v>
      </c>
      <c r="W25" s="14" t="n">
        <f aca="false">IF(O25=0,W24+1,0)</f>
        <v>0</v>
      </c>
      <c r="X25" s="14" t="n">
        <f aca="false">IF(OR(E25="",F25=""),"",ROUND((10*(E25-1)+10*(2-MIN(F25,2)))/60*100,0))</f>
        <v>83</v>
      </c>
    </row>
    <row r="26" customFormat="false" ht="15" hidden="false" customHeight="false" outlineLevel="0" collapsed="false">
      <c r="A26" s="4" t="s">
        <v>82</v>
      </c>
      <c r="B26" s="4" t="n">
        <v>11</v>
      </c>
      <c r="C26" s="4" t="n">
        <f aca="false">IF(B26&lt;=7,1,2)</f>
        <v>2</v>
      </c>
      <c r="D26" s="11"/>
      <c r="E26" s="12" t="n">
        <v>5</v>
      </c>
      <c r="F26" s="12" t="n">
        <v>0</v>
      </c>
      <c r="G26" s="12" t="n">
        <v>2</v>
      </c>
      <c r="H26" s="12" t="s">
        <v>32</v>
      </c>
      <c r="I26" s="12" t="n">
        <v>2</v>
      </c>
      <c r="J26" s="11"/>
      <c r="K26" s="13" t="n">
        <v>0.791666666666667</v>
      </c>
      <c r="L26" s="13" t="n">
        <v>0.947916666666667</v>
      </c>
      <c r="M26" s="12" t="n">
        <v>1</v>
      </c>
      <c r="N26" s="14" t="n">
        <f aca="false">IF(OR(E26="",F26="",G26=""),"",10*(E26-1)+10*(G26-1)+10*(2-MIN(F26,2)))</f>
        <v>70</v>
      </c>
      <c r="O26" s="14" t="n">
        <f aca="false">IF(AND(N26&lt;&gt;"",I26&lt;&gt;""),1,0)</f>
        <v>1</v>
      </c>
      <c r="P26" s="14" t="n">
        <f aca="false">IF(N26="","",IF(N26&lt;Ngưỡng!$B$4,1,0))</f>
        <v>0</v>
      </c>
      <c r="Q26" s="14" t="n">
        <f aca="false">IF(I26="","",IF(I26&gt;=Ngưỡng!$B$5,1,0))</f>
        <v>0</v>
      </c>
      <c r="R26" s="14" t="n">
        <f aca="false">IF(H26="","",IF(H26&lt;&gt;"Yên",1,0))</f>
        <v>0</v>
      </c>
      <c r="S26" s="14" t="n">
        <f aca="false">IF(K26="","",IF(K26&gt;Ngưỡng!$B$6,1,0))</f>
        <v>0</v>
      </c>
      <c r="T26" s="14" t="n">
        <f aca="false">IF(N26="","",IF(N26&gt;=Ngưỡng!$B$3,1,0))</f>
        <v>0</v>
      </c>
      <c r="U26" s="14" t="n">
        <f aca="false">IF(I26=5,U25+1,0)</f>
        <v>0</v>
      </c>
      <c r="V26" s="14" t="n">
        <f aca="false">IF(AND(F26&lt;&gt;"",F26&gt;=2),V25+1,0)</f>
        <v>0</v>
      </c>
      <c r="W26" s="14" t="n">
        <f aca="false">IF(O26=0,W25+1,0)</f>
        <v>0</v>
      </c>
      <c r="X26" s="14" t="n">
        <f aca="false">IF(OR(E26="",F26=""),"",ROUND((10*(E26-1)+10*(2-MIN(F26,2)))/60*100,0))</f>
        <v>100</v>
      </c>
    </row>
    <row r="27" customFormat="false" ht="15" hidden="false" customHeight="false" outlineLevel="0" collapsed="false">
      <c r="A27" s="4" t="s">
        <v>82</v>
      </c>
      <c r="B27" s="4" t="n">
        <v>12</v>
      </c>
      <c r="C27" s="4" t="n">
        <f aca="false">IF(B27&lt;=7,1,2)</f>
        <v>2</v>
      </c>
      <c r="D27" s="11"/>
      <c r="E27" s="12" t="n">
        <v>4</v>
      </c>
      <c r="F27" s="12" t="n">
        <v>0</v>
      </c>
      <c r="G27" s="12" t="n">
        <v>2</v>
      </c>
      <c r="H27" s="12" t="s">
        <v>32</v>
      </c>
      <c r="I27" s="12" t="n">
        <v>3</v>
      </c>
      <c r="J27" s="11"/>
      <c r="K27" s="13" t="n">
        <v>0.802083333333333</v>
      </c>
      <c r="L27" s="13" t="n">
        <v>0.958333333333333</v>
      </c>
      <c r="M27" s="12" t="n">
        <v>1</v>
      </c>
      <c r="N27" s="14" t="n">
        <f aca="false">IF(OR(E27="",F27="",G27=""),"",10*(E27-1)+10*(G27-1)+10*(2-MIN(F27,2)))</f>
        <v>60</v>
      </c>
      <c r="O27" s="14" t="n">
        <f aca="false">IF(AND(N27&lt;&gt;"",I27&lt;&gt;""),1,0)</f>
        <v>1</v>
      </c>
      <c r="P27" s="14" t="n">
        <f aca="false">IF(N27="","",IF(N27&lt;Ngưỡng!$B$4,1,0))</f>
        <v>0</v>
      </c>
      <c r="Q27" s="14" t="n">
        <f aca="false">IF(I27="","",IF(I27&gt;=Ngưỡng!$B$5,1,0))</f>
        <v>0</v>
      </c>
      <c r="R27" s="14" t="n">
        <f aca="false">IF(H27="","",IF(H27&lt;&gt;"Yên",1,0))</f>
        <v>0</v>
      </c>
      <c r="S27" s="14" t="n">
        <f aca="false">IF(K27="","",IF(K27&gt;Ngưỡng!$B$6,1,0))</f>
        <v>0</v>
      </c>
      <c r="T27" s="14" t="n">
        <f aca="false">IF(N27="","",IF(N27&gt;=Ngưỡng!$B$3,1,0))</f>
        <v>0</v>
      </c>
      <c r="U27" s="14" t="n">
        <f aca="false">IF(I27=5,U26+1,0)</f>
        <v>0</v>
      </c>
      <c r="V27" s="14" t="n">
        <f aca="false">IF(AND(F27&lt;&gt;"",F27&gt;=2),V26+1,0)</f>
        <v>0</v>
      </c>
      <c r="W27" s="14" t="n">
        <f aca="false">IF(O27=0,W26+1,0)</f>
        <v>0</v>
      </c>
      <c r="X27" s="14" t="n">
        <f aca="false">IF(OR(E27="",F27=""),"",ROUND((10*(E27-1)+10*(2-MIN(F27,2)))/60*100,0))</f>
        <v>83</v>
      </c>
    </row>
    <row r="28" customFormat="false" ht="15" hidden="false" customHeight="false" outlineLevel="0" collapsed="false">
      <c r="A28" s="4" t="s">
        <v>82</v>
      </c>
      <c r="B28" s="4" t="n">
        <v>13</v>
      </c>
      <c r="C28" s="4" t="n">
        <f aca="false">IF(B28&lt;=7,1,2)</f>
        <v>2</v>
      </c>
      <c r="D28" s="11"/>
      <c r="E28" s="12" t="n">
        <v>5</v>
      </c>
      <c r="F28" s="12" t="n">
        <v>0</v>
      </c>
      <c r="G28" s="12" t="n">
        <v>3</v>
      </c>
      <c r="H28" s="12" t="s">
        <v>32</v>
      </c>
      <c r="I28" s="12" t="n">
        <v>2</v>
      </c>
      <c r="J28" s="11"/>
      <c r="K28" s="13" t="n">
        <v>0.791666666666667</v>
      </c>
      <c r="L28" s="13" t="n">
        <v>0.944444444444444</v>
      </c>
      <c r="M28" s="12" t="n">
        <v>1</v>
      </c>
      <c r="N28" s="14" t="n">
        <f aca="false">IF(OR(E28="",F28="",G28=""),"",10*(E28-1)+10*(G28-1)+10*(2-MIN(F28,2)))</f>
        <v>80</v>
      </c>
      <c r="O28" s="14" t="n">
        <f aca="false">IF(AND(N28&lt;&gt;"",I28&lt;&gt;""),1,0)</f>
        <v>1</v>
      </c>
      <c r="P28" s="14" t="n">
        <f aca="false">IF(N28="","",IF(N28&lt;Ngưỡng!$B$4,1,0))</f>
        <v>0</v>
      </c>
      <c r="Q28" s="14" t="n">
        <f aca="false">IF(I28="","",IF(I28&gt;=Ngưỡng!$B$5,1,0))</f>
        <v>0</v>
      </c>
      <c r="R28" s="14" t="n">
        <f aca="false">IF(H28="","",IF(H28&lt;&gt;"Yên",1,0))</f>
        <v>0</v>
      </c>
      <c r="S28" s="14" t="n">
        <f aca="false">IF(K28="","",IF(K28&gt;Ngưỡng!$B$6,1,0))</f>
        <v>0</v>
      </c>
      <c r="T28" s="14" t="n">
        <f aca="false">IF(N28="","",IF(N28&gt;=Ngưỡng!$B$3,1,0))</f>
        <v>1</v>
      </c>
      <c r="U28" s="14" t="n">
        <f aca="false">IF(I28=5,U27+1,0)</f>
        <v>0</v>
      </c>
      <c r="V28" s="14" t="n">
        <f aca="false">IF(AND(F28&lt;&gt;"",F28&gt;=2),V27+1,0)</f>
        <v>0</v>
      </c>
      <c r="W28" s="14" t="n">
        <f aca="false">IF(O28=0,W27+1,0)</f>
        <v>0</v>
      </c>
      <c r="X28" s="14" t="n">
        <f aca="false">IF(OR(E28="",F28=""),"",ROUND((10*(E28-1)+10*(2-MIN(F28,2)))/60*100,0))</f>
        <v>100</v>
      </c>
    </row>
    <row r="29" customFormat="false" ht="15" hidden="false" customHeight="false" outlineLevel="0" collapsed="false">
      <c r="A29" s="4" t="s">
        <v>82</v>
      </c>
      <c r="B29" s="4" t="n">
        <v>14</v>
      </c>
      <c r="C29" s="4" t="n">
        <f aca="false">IF(B29&lt;=7,1,2)</f>
        <v>2</v>
      </c>
      <c r="D29" s="11"/>
      <c r="E29" s="12" t="n">
        <v>4</v>
      </c>
      <c r="F29" s="12" t="n">
        <v>0</v>
      </c>
      <c r="G29" s="12" t="n">
        <v>2</v>
      </c>
      <c r="H29" s="12" t="s">
        <v>32</v>
      </c>
      <c r="I29" s="12" t="n">
        <v>2</v>
      </c>
      <c r="J29" s="11"/>
      <c r="K29" s="13" t="n">
        <v>0.805555555555556</v>
      </c>
      <c r="L29" s="13" t="n">
        <v>0.958333333333333</v>
      </c>
      <c r="M29" s="12" t="n">
        <v>1</v>
      </c>
      <c r="N29" s="14" t="n">
        <f aca="false">IF(OR(E29="",F29="",G29=""),"",10*(E29-1)+10*(G29-1)+10*(2-MIN(F29,2)))</f>
        <v>60</v>
      </c>
      <c r="O29" s="14" t="n">
        <f aca="false">IF(AND(N29&lt;&gt;"",I29&lt;&gt;""),1,0)</f>
        <v>1</v>
      </c>
      <c r="P29" s="14" t="n">
        <f aca="false">IF(N29="","",IF(N29&lt;Ngưỡng!$B$4,1,0))</f>
        <v>0</v>
      </c>
      <c r="Q29" s="14" t="n">
        <f aca="false">IF(I29="","",IF(I29&gt;=Ngưỡng!$B$5,1,0))</f>
        <v>0</v>
      </c>
      <c r="R29" s="14" t="n">
        <f aca="false">IF(H29="","",IF(H29&lt;&gt;"Yên",1,0))</f>
        <v>0</v>
      </c>
      <c r="S29" s="14" t="n">
        <f aca="false">IF(K29="","",IF(K29&gt;Ngưỡng!$B$6,1,0))</f>
        <v>0</v>
      </c>
      <c r="T29" s="14" t="n">
        <f aca="false">IF(N29="","",IF(N29&gt;=Ngưỡng!$B$3,1,0))</f>
        <v>0</v>
      </c>
      <c r="U29" s="14" t="n">
        <f aca="false">IF(I29=5,U28+1,0)</f>
        <v>0</v>
      </c>
      <c r="V29" s="14" t="n">
        <f aca="false">IF(AND(F29&lt;&gt;"",F29&gt;=2),V28+1,0)</f>
        <v>0</v>
      </c>
      <c r="W29" s="14" t="n">
        <f aca="false">IF(O29=0,W28+1,0)</f>
        <v>0</v>
      </c>
      <c r="X29" s="14" t="n">
        <f aca="false">IF(OR(E29="",F29=""),"",ROUND((10*(E29-1)+10*(2-MIN(F29,2)))/60*100,0))</f>
        <v>83</v>
      </c>
    </row>
    <row r="30" customFormat="false" ht="15" hidden="false" customHeight="false" outlineLevel="0" collapsed="false">
      <c r="A30" s="4" t="s">
        <v>83</v>
      </c>
      <c r="B30" s="4" t="n">
        <v>1</v>
      </c>
      <c r="C30" s="4" t="n">
        <f aca="false">IF(B30&lt;=7,1,2)</f>
        <v>1</v>
      </c>
      <c r="D30" s="15"/>
      <c r="E30" s="15"/>
      <c r="F30" s="15"/>
      <c r="G30" s="15"/>
      <c r="H30" s="15"/>
      <c r="I30" s="15"/>
      <c r="J30" s="15"/>
      <c r="K30" s="16"/>
      <c r="L30" s="16"/>
      <c r="M30" s="15"/>
      <c r="N30" s="14" t="str">
        <f aca="false">IF(OR(E30="",F30="",G30=""),"",10*(E30-1)+10*(G30-1)+10*(2-MIN(F30,2)))</f>
        <v/>
      </c>
      <c r="O30" s="14" t="n">
        <f aca="false">IF(AND(N30&lt;&gt;"",I30&lt;&gt;""),1,0)</f>
        <v>0</v>
      </c>
      <c r="P30" s="14" t="str">
        <f aca="false">IF(N30="","",IF(N30&lt;Ngưỡng!$B$4,1,0))</f>
        <v/>
      </c>
      <c r="Q30" s="14" t="str">
        <f aca="false">IF(I30="","",IF(I30&gt;=Ngưỡng!$B$5,1,0))</f>
        <v/>
      </c>
      <c r="R30" s="14" t="str">
        <f aca="false">IF(H30="","",IF(H30&lt;&gt;"Yên",1,0))</f>
        <v/>
      </c>
      <c r="S30" s="14" t="str">
        <f aca="false">IF(K30="","",IF(K30&gt;Ngưỡng!$B$6,1,0))</f>
        <v/>
      </c>
      <c r="T30" s="14" t="str">
        <f aca="false">IF(N30="","",IF(N30&gt;=Ngưỡng!$B$3,1,0))</f>
        <v/>
      </c>
      <c r="U30" s="14" t="n">
        <f aca="false">IF(I30=5,0+1,0)</f>
        <v>0</v>
      </c>
      <c r="V30" s="14" t="n">
        <f aca="false">IF(AND(F30&lt;&gt;"",F30&gt;=2),0+1,0)</f>
        <v>0</v>
      </c>
      <c r="W30" s="14" t="n">
        <f aca="false">IF(O30=0,0+1,0)</f>
        <v>1</v>
      </c>
      <c r="X30" s="14" t="str">
        <f aca="false">IF(OR(E30="",F30=""),"",ROUND((10*(E30-1)+10*(2-MIN(F30,2)))/60*100,0))</f>
        <v/>
      </c>
    </row>
    <row r="31" customFormat="false" ht="15" hidden="false" customHeight="false" outlineLevel="0" collapsed="false">
      <c r="A31" s="4" t="s">
        <v>83</v>
      </c>
      <c r="B31" s="4" t="n">
        <v>2</v>
      </c>
      <c r="C31" s="4" t="n">
        <f aca="false">IF(B31&lt;=7,1,2)</f>
        <v>1</v>
      </c>
      <c r="D31" s="15"/>
      <c r="E31" s="15"/>
      <c r="F31" s="15"/>
      <c r="G31" s="15"/>
      <c r="H31" s="15"/>
      <c r="I31" s="15"/>
      <c r="J31" s="15"/>
      <c r="K31" s="16"/>
      <c r="L31" s="16"/>
      <c r="M31" s="15"/>
      <c r="N31" s="14" t="str">
        <f aca="false">IF(OR(E31="",F31="",G31=""),"",10*(E31-1)+10*(G31-1)+10*(2-MIN(F31,2)))</f>
        <v/>
      </c>
      <c r="O31" s="14" t="n">
        <f aca="false">IF(AND(N31&lt;&gt;"",I31&lt;&gt;""),1,0)</f>
        <v>0</v>
      </c>
      <c r="P31" s="14" t="str">
        <f aca="false">IF(N31="","",IF(N31&lt;Ngưỡng!$B$4,1,0))</f>
        <v/>
      </c>
      <c r="Q31" s="14" t="str">
        <f aca="false">IF(I31="","",IF(I31&gt;=Ngưỡng!$B$5,1,0))</f>
        <v/>
      </c>
      <c r="R31" s="14" t="str">
        <f aca="false">IF(H31="","",IF(H31&lt;&gt;"Yên",1,0))</f>
        <v/>
      </c>
      <c r="S31" s="14" t="str">
        <f aca="false">IF(K31="","",IF(K31&gt;Ngưỡng!$B$6,1,0))</f>
        <v/>
      </c>
      <c r="T31" s="14" t="str">
        <f aca="false">IF(N31="","",IF(N31&gt;=Ngưỡng!$B$3,1,0))</f>
        <v/>
      </c>
      <c r="U31" s="14" t="n">
        <f aca="false">IF(I31=5,U30+1,0)</f>
        <v>0</v>
      </c>
      <c r="V31" s="14" t="n">
        <f aca="false">IF(AND(F31&lt;&gt;"",F31&gt;=2),V30+1,0)</f>
        <v>0</v>
      </c>
      <c r="W31" s="14" t="n">
        <f aca="false">IF(O31=0,W30+1,0)</f>
        <v>2</v>
      </c>
      <c r="X31" s="14" t="str">
        <f aca="false">IF(OR(E31="",F31=""),"",ROUND((10*(E31-1)+10*(2-MIN(F31,2)))/60*100,0))</f>
        <v/>
      </c>
    </row>
    <row r="32" customFormat="false" ht="15" hidden="false" customHeight="false" outlineLevel="0" collapsed="false">
      <c r="A32" s="4" t="s">
        <v>83</v>
      </c>
      <c r="B32" s="4" t="n">
        <v>3</v>
      </c>
      <c r="C32" s="4" t="n">
        <f aca="false">IF(B32&lt;=7,1,2)</f>
        <v>1</v>
      </c>
      <c r="D32" s="15"/>
      <c r="E32" s="15"/>
      <c r="F32" s="15"/>
      <c r="G32" s="15"/>
      <c r="H32" s="15"/>
      <c r="I32" s="15"/>
      <c r="J32" s="15"/>
      <c r="K32" s="16"/>
      <c r="L32" s="16"/>
      <c r="M32" s="15"/>
      <c r="N32" s="14" t="str">
        <f aca="false">IF(OR(E32="",F32="",G32=""),"",10*(E32-1)+10*(G32-1)+10*(2-MIN(F32,2)))</f>
        <v/>
      </c>
      <c r="O32" s="14" t="n">
        <f aca="false">IF(AND(N32&lt;&gt;"",I32&lt;&gt;""),1,0)</f>
        <v>0</v>
      </c>
      <c r="P32" s="14" t="str">
        <f aca="false">IF(N32="","",IF(N32&lt;Ngưỡng!$B$4,1,0))</f>
        <v/>
      </c>
      <c r="Q32" s="14" t="str">
        <f aca="false">IF(I32="","",IF(I32&gt;=Ngưỡng!$B$5,1,0))</f>
        <v/>
      </c>
      <c r="R32" s="14" t="str">
        <f aca="false">IF(H32="","",IF(H32&lt;&gt;"Yên",1,0))</f>
        <v/>
      </c>
      <c r="S32" s="14" t="str">
        <f aca="false">IF(K32="","",IF(K32&gt;Ngưỡng!$B$6,1,0))</f>
        <v/>
      </c>
      <c r="T32" s="14" t="str">
        <f aca="false">IF(N32="","",IF(N32&gt;=Ngưỡng!$B$3,1,0))</f>
        <v/>
      </c>
      <c r="U32" s="14" t="n">
        <f aca="false">IF(I32=5,U31+1,0)</f>
        <v>0</v>
      </c>
      <c r="V32" s="14" t="n">
        <f aca="false">IF(AND(F32&lt;&gt;"",F32&gt;=2),V31+1,0)</f>
        <v>0</v>
      </c>
      <c r="W32" s="14" t="n">
        <f aca="false">IF(O32=0,W31+1,0)</f>
        <v>3</v>
      </c>
      <c r="X32" s="14" t="str">
        <f aca="false">IF(OR(E32="",F32=""),"",ROUND((10*(E32-1)+10*(2-MIN(F32,2)))/60*100,0))</f>
        <v/>
      </c>
    </row>
    <row r="33" customFormat="false" ht="15" hidden="false" customHeight="false" outlineLevel="0" collapsed="false">
      <c r="A33" s="4" t="s">
        <v>83</v>
      </c>
      <c r="B33" s="4" t="n">
        <v>4</v>
      </c>
      <c r="C33" s="4" t="n">
        <f aca="false">IF(B33&lt;=7,1,2)</f>
        <v>1</v>
      </c>
      <c r="D33" s="15"/>
      <c r="E33" s="15"/>
      <c r="F33" s="15"/>
      <c r="G33" s="15"/>
      <c r="H33" s="15"/>
      <c r="I33" s="15"/>
      <c r="J33" s="15"/>
      <c r="K33" s="16"/>
      <c r="L33" s="16"/>
      <c r="M33" s="15"/>
      <c r="N33" s="14" t="str">
        <f aca="false">IF(OR(E33="",F33="",G33=""),"",10*(E33-1)+10*(G33-1)+10*(2-MIN(F33,2)))</f>
        <v/>
      </c>
      <c r="O33" s="14" t="n">
        <f aca="false">IF(AND(N33&lt;&gt;"",I33&lt;&gt;""),1,0)</f>
        <v>0</v>
      </c>
      <c r="P33" s="14" t="str">
        <f aca="false">IF(N33="","",IF(N33&lt;Ngưỡng!$B$4,1,0))</f>
        <v/>
      </c>
      <c r="Q33" s="14" t="str">
        <f aca="false">IF(I33="","",IF(I33&gt;=Ngưỡng!$B$5,1,0))</f>
        <v/>
      </c>
      <c r="R33" s="14" t="str">
        <f aca="false">IF(H33="","",IF(H33&lt;&gt;"Yên",1,0))</f>
        <v/>
      </c>
      <c r="S33" s="14" t="str">
        <f aca="false">IF(K33="","",IF(K33&gt;Ngưỡng!$B$6,1,0))</f>
        <v/>
      </c>
      <c r="T33" s="14" t="str">
        <f aca="false">IF(N33="","",IF(N33&gt;=Ngưỡng!$B$3,1,0))</f>
        <v/>
      </c>
      <c r="U33" s="14" t="n">
        <f aca="false">IF(I33=5,U32+1,0)</f>
        <v>0</v>
      </c>
      <c r="V33" s="14" t="n">
        <f aca="false">IF(AND(F33&lt;&gt;"",F33&gt;=2),V32+1,0)</f>
        <v>0</v>
      </c>
      <c r="W33" s="14" t="n">
        <f aca="false">IF(O33=0,W32+1,0)</f>
        <v>4</v>
      </c>
      <c r="X33" s="14" t="str">
        <f aca="false">IF(OR(E33="",F33=""),"",ROUND((10*(E33-1)+10*(2-MIN(F33,2)))/60*100,0))</f>
        <v/>
      </c>
    </row>
    <row r="34" customFormat="false" ht="15" hidden="false" customHeight="false" outlineLevel="0" collapsed="false">
      <c r="A34" s="4" t="s">
        <v>83</v>
      </c>
      <c r="B34" s="4" t="n">
        <v>5</v>
      </c>
      <c r="C34" s="4" t="n">
        <f aca="false">IF(B34&lt;=7,1,2)</f>
        <v>1</v>
      </c>
      <c r="D34" s="15"/>
      <c r="E34" s="15"/>
      <c r="F34" s="15"/>
      <c r="G34" s="15"/>
      <c r="H34" s="15"/>
      <c r="I34" s="15"/>
      <c r="J34" s="15"/>
      <c r="K34" s="16"/>
      <c r="L34" s="16"/>
      <c r="M34" s="15"/>
      <c r="N34" s="14" t="str">
        <f aca="false">IF(OR(E34="",F34="",G34=""),"",10*(E34-1)+10*(G34-1)+10*(2-MIN(F34,2)))</f>
        <v/>
      </c>
      <c r="O34" s="14" t="n">
        <f aca="false">IF(AND(N34&lt;&gt;"",I34&lt;&gt;""),1,0)</f>
        <v>0</v>
      </c>
      <c r="P34" s="14" t="str">
        <f aca="false">IF(N34="","",IF(N34&lt;Ngưỡng!$B$4,1,0))</f>
        <v/>
      </c>
      <c r="Q34" s="14" t="str">
        <f aca="false">IF(I34="","",IF(I34&gt;=Ngưỡng!$B$5,1,0))</f>
        <v/>
      </c>
      <c r="R34" s="14" t="str">
        <f aca="false">IF(H34="","",IF(H34&lt;&gt;"Yên",1,0))</f>
        <v/>
      </c>
      <c r="S34" s="14" t="str">
        <f aca="false">IF(K34="","",IF(K34&gt;Ngưỡng!$B$6,1,0))</f>
        <v/>
      </c>
      <c r="T34" s="14" t="str">
        <f aca="false">IF(N34="","",IF(N34&gt;=Ngưỡng!$B$3,1,0))</f>
        <v/>
      </c>
      <c r="U34" s="14" t="n">
        <f aca="false">IF(I34=5,U33+1,0)</f>
        <v>0</v>
      </c>
      <c r="V34" s="14" t="n">
        <f aca="false">IF(AND(F34&lt;&gt;"",F34&gt;=2),V33+1,0)</f>
        <v>0</v>
      </c>
      <c r="W34" s="14" t="n">
        <f aca="false">IF(O34=0,W33+1,0)</f>
        <v>5</v>
      </c>
      <c r="X34" s="14" t="str">
        <f aca="false">IF(OR(E34="",F34=""),"",ROUND((10*(E34-1)+10*(2-MIN(F34,2)))/60*100,0))</f>
        <v/>
      </c>
    </row>
    <row r="35" customFormat="false" ht="15" hidden="false" customHeight="false" outlineLevel="0" collapsed="false">
      <c r="A35" s="4" t="s">
        <v>83</v>
      </c>
      <c r="B35" s="4" t="n">
        <v>6</v>
      </c>
      <c r="C35" s="4" t="n">
        <f aca="false">IF(B35&lt;=7,1,2)</f>
        <v>1</v>
      </c>
      <c r="D35" s="15"/>
      <c r="E35" s="15"/>
      <c r="F35" s="15"/>
      <c r="G35" s="15"/>
      <c r="H35" s="15"/>
      <c r="I35" s="15"/>
      <c r="J35" s="15"/>
      <c r="K35" s="16"/>
      <c r="L35" s="16"/>
      <c r="M35" s="15"/>
      <c r="N35" s="14" t="str">
        <f aca="false">IF(OR(E35="",F35="",G35=""),"",10*(E35-1)+10*(G35-1)+10*(2-MIN(F35,2)))</f>
        <v/>
      </c>
      <c r="O35" s="14" t="n">
        <f aca="false">IF(AND(N35&lt;&gt;"",I35&lt;&gt;""),1,0)</f>
        <v>0</v>
      </c>
      <c r="P35" s="14" t="str">
        <f aca="false">IF(N35="","",IF(N35&lt;Ngưỡng!$B$4,1,0))</f>
        <v/>
      </c>
      <c r="Q35" s="14" t="str">
        <f aca="false">IF(I35="","",IF(I35&gt;=Ngưỡng!$B$5,1,0))</f>
        <v/>
      </c>
      <c r="R35" s="14" t="str">
        <f aca="false">IF(H35="","",IF(H35&lt;&gt;"Yên",1,0))</f>
        <v/>
      </c>
      <c r="S35" s="14" t="str">
        <f aca="false">IF(K35="","",IF(K35&gt;Ngưỡng!$B$6,1,0))</f>
        <v/>
      </c>
      <c r="T35" s="14" t="str">
        <f aca="false">IF(N35="","",IF(N35&gt;=Ngưỡng!$B$3,1,0))</f>
        <v/>
      </c>
      <c r="U35" s="14" t="n">
        <f aca="false">IF(I35=5,U34+1,0)</f>
        <v>0</v>
      </c>
      <c r="V35" s="14" t="n">
        <f aca="false">IF(AND(F35&lt;&gt;"",F35&gt;=2),V34+1,0)</f>
        <v>0</v>
      </c>
      <c r="W35" s="14" t="n">
        <f aca="false">IF(O35=0,W34+1,0)</f>
        <v>6</v>
      </c>
      <c r="X35" s="14" t="str">
        <f aca="false">IF(OR(E35="",F35=""),"",ROUND((10*(E35-1)+10*(2-MIN(F35,2)))/60*100,0))</f>
        <v/>
      </c>
    </row>
    <row r="36" customFormat="false" ht="15" hidden="false" customHeight="false" outlineLevel="0" collapsed="false">
      <c r="A36" s="4" t="s">
        <v>83</v>
      </c>
      <c r="B36" s="4" t="n">
        <v>7</v>
      </c>
      <c r="C36" s="4" t="n">
        <f aca="false">IF(B36&lt;=7,1,2)</f>
        <v>1</v>
      </c>
      <c r="D36" s="15"/>
      <c r="E36" s="15"/>
      <c r="F36" s="15"/>
      <c r="G36" s="15"/>
      <c r="H36" s="15"/>
      <c r="I36" s="15"/>
      <c r="J36" s="15"/>
      <c r="K36" s="16"/>
      <c r="L36" s="16"/>
      <c r="M36" s="15"/>
      <c r="N36" s="14" t="str">
        <f aca="false">IF(OR(E36="",F36="",G36=""),"",10*(E36-1)+10*(G36-1)+10*(2-MIN(F36,2)))</f>
        <v/>
      </c>
      <c r="O36" s="14" t="n">
        <f aca="false">IF(AND(N36&lt;&gt;"",I36&lt;&gt;""),1,0)</f>
        <v>0</v>
      </c>
      <c r="P36" s="14" t="str">
        <f aca="false">IF(N36="","",IF(N36&lt;Ngưỡng!$B$4,1,0))</f>
        <v/>
      </c>
      <c r="Q36" s="14" t="str">
        <f aca="false">IF(I36="","",IF(I36&gt;=Ngưỡng!$B$5,1,0))</f>
        <v/>
      </c>
      <c r="R36" s="14" t="str">
        <f aca="false">IF(H36="","",IF(H36&lt;&gt;"Yên",1,0))</f>
        <v/>
      </c>
      <c r="S36" s="14" t="str">
        <f aca="false">IF(K36="","",IF(K36&gt;Ngưỡng!$B$6,1,0))</f>
        <v/>
      </c>
      <c r="T36" s="14" t="str">
        <f aca="false">IF(N36="","",IF(N36&gt;=Ngưỡng!$B$3,1,0))</f>
        <v/>
      </c>
      <c r="U36" s="14" t="n">
        <f aca="false">IF(I36=5,U35+1,0)</f>
        <v>0</v>
      </c>
      <c r="V36" s="14" t="n">
        <f aca="false">IF(AND(F36&lt;&gt;"",F36&gt;=2),V35+1,0)</f>
        <v>0</v>
      </c>
      <c r="W36" s="14" t="n">
        <f aca="false">IF(O36=0,W35+1,0)</f>
        <v>7</v>
      </c>
      <c r="X36" s="14" t="str">
        <f aca="false">IF(OR(E36="",F36=""),"",ROUND((10*(E36-1)+10*(2-MIN(F36,2)))/60*100,0))</f>
        <v/>
      </c>
    </row>
    <row r="37" customFormat="false" ht="15" hidden="false" customHeight="false" outlineLevel="0" collapsed="false">
      <c r="A37" s="4" t="s">
        <v>83</v>
      </c>
      <c r="B37" s="4" t="n">
        <v>8</v>
      </c>
      <c r="C37" s="4" t="n">
        <f aca="false">IF(B37&lt;=7,1,2)</f>
        <v>2</v>
      </c>
      <c r="D37" s="15"/>
      <c r="E37" s="15"/>
      <c r="F37" s="15"/>
      <c r="G37" s="15"/>
      <c r="H37" s="15"/>
      <c r="I37" s="15"/>
      <c r="J37" s="15"/>
      <c r="K37" s="16"/>
      <c r="L37" s="16"/>
      <c r="M37" s="15"/>
      <c r="N37" s="14" t="str">
        <f aca="false">IF(OR(E37="",F37="",G37=""),"",10*(E37-1)+10*(G37-1)+10*(2-MIN(F37,2)))</f>
        <v/>
      </c>
      <c r="O37" s="14" t="n">
        <f aca="false">IF(AND(N37&lt;&gt;"",I37&lt;&gt;""),1,0)</f>
        <v>0</v>
      </c>
      <c r="P37" s="14" t="str">
        <f aca="false">IF(N37="","",IF(N37&lt;Ngưỡng!$B$4,1,0))</f>
        <v/>
      </c>
      <c r="Q37" s="14" t="str">
        <f aca="false">IF(I37="","",IF(I37&gt;=Ngưỡng!$B$5,1,0))</f>
        <v/>
      </c>
      <c r="R37" s="14" t="str">
        <f aca="false">IF(H37="","",IF(H37&lt;&gt;"Yên",1,0))</f>
        <v/>
      </c>
      <c r="S37" s="14" t="str">
        <f aca="false">IF(K37="","",IF(K37&gt;Ngưỡng!$B$6,1,0))</f>
        <v/>
      </c>
      <c r="T37" s="14" t="str">
        <f aca="false">IF(N37="","",IF(N37&gt;=Ngưỡng!$B$3,1,0))</f>
        <v/>
      </c>
      <c r="U37" s="14" t="n">
        <f aca="false">IF(I37=5,U36+1,0)</f>
        <v>0</v>
      </c>
      <c r="V37" s="14" t="n">
        <f aca="false">IF(AND(F37&lt;&gt;"",F37&gt;=2),V36+1,0)</f>
        <v>0</v>
      </c>
      <c r="W37" s="14" t="n">
        <f aca="false">IF(O37=0,W36+1,0)</f>
        <v>8</v>
      </c>
      <c r="X37" s="14" t="str">
        <f aca="false">IF(OR(E37="",F37=""),"",ROUND((10*(E37-1)+10*(2-MIN(F37,2)))/60*100,0))</f>
        <v/>
      </c>
    </row>
    <row r="38" customFormat="false" ht="15" hidden="false" customHeight="false" outlineLevel="0" collapsed="false">
      <c r="A38" s="4" t="s">
        <v>83</v>
      </c>
      <c r="B38" s="4" t="n">
        <v>9</v>
      </c>
      <c r="C38" s="4" t="n">
        <f aca="false">IF(B38&lt;=7,1,2)</f>
        <v>2</v>
      </c>
      <c r="D38" s="15"/>
      <c r="E38" s="15"/>
      <c r="F38" s="15"/>
      <c r="G38" s="15"/>
      <c r="H38" s="15"/>
      <c r="I38" s="15"/>
      <c r="J38" s="15"/>
      <c r="K38" s="16"/>
      <c r="L38" s="16"/>
      <c r="M38" s="15"/>
      <c r="N38" s="14" t="str">
        <f aca="false">IF(OR(E38="",F38="",G38=""),"",10*(E38-1)+10*(G38-1)+10*(2-MIN(F38,2)))</f>
        <v/>
      </c>
      <c r="O38" s="14" t="n">
        <f aca="false">IF(AND(N38&lt;&gt;"",I38&lt;&gt;""),1,0)</f>
        <v>0</v>
      </c>
      <c r="P38" s="14" t="str">
        <f aca="false">IF(N38="","",IF(N38&lt;Ngưỡng!$B$4,1,0))</f>
        <v/>
      </c>
      <c r="Q38" s="14" t="str">
        <f aca="false">IF(I38="","",IF(I38&gt;=Ngưỡng!$B$5,1,0))</f>
        <v/>
      </c>
      <c r="R38" s="14" t="str">
        <f aca="false">IF(H38="","",IF(H38&lt;&gt;"Yên",1,0))</f>
        <v/>
      </c>
      <c r="S38" s="14" t="str">
        <f aca="false">IF(K38="","",IF(K38&gt;Ngưỡng!$B$6,1,0))</f>
        <v/>
      </c>
      <c r="T38" s="14" t="str">
        <f aca="false">IF(N38="","",IF(N38&gt;=Ngưỡng!$B$3,1,0))</f>
        <v/>
      </c>
      <c r="U38" s="14" t="n">
        <f aca="false">IF(I38=5,U37+1,0)</f>
        <v>0</v>
      </c>
      <c r="V38" s="14" t="n">
        <f aca="false">IF(AND(F38&lt;&gt;"",F38&gt;=2),V37+1,0)</f>
        <v>0</v>
      </c>
      <c r="W38" s="14" t="n">
        <f aca="false">IF(O38=0,W37+1,0)</f>
        <v>9</v>
      </c>
      <c r="X38" s="14" t="str">
        <f aca="false">IF(OR(E38="",F38=""),"",ROUND((10*(E38-1)+10*(2-MIN(F38,2)))/60*100,0))</f>
        <v/>
      </c>
    </row>
    <row r="39" customFormat="false" ht="15" hidden="false" customHeight="false" outlineLevel="0" collapsed="false">
      <c r="A39" s="4" t="s">
        <v>83</v>
      </c>
      <c r="B39" s="4" t="n">
        <v>10</v>
      </c>
      <c r="C39" s="4" t="n">
        <f aca="false">IF(B39&lt;=7,1,2)</f>
        <v>2</v>
      </c>
      <c r="D39" s="15"/>
      <c r="E39" s="15"/>
      <c r="F39" s="15"/>
      <c r="G39" s="15"/>
      <c r="H39" s="15"/>
      <c r="I39" s="15"/>
      <c r="J39" s="15"/>
      <c r="K39" s="16"/>
      <c r="L39" s="16"/>
      <c r="M39" s="15"/>
      <c r="N39" s="14" t="str">
        <f aca="false">IF(OR(E39="",F39="",G39=""),"",10*(E39-1)+10*(G39-1)+10*(2-MIN(F39,2)))</f>
        <v/>
      </c>
      <c r="O39" s="14" t="n">
        <f aca="false">IF(AND(N39&lt;&gt;"",I39&lt;&gt;""),1,0)</f>
        <v>0</v>
      </c>
      <c r="P39" s="14" t="str">
        <f aca="false">IF(N39="","",IF(N39&lt;Ngưỡng!$B$4,1,0))</f>
        <v/>
      </c>
      <c r="Q39" s="14" t="str">
        <f aca="false">IF(I39="","",IF(I39&gt;=Ngưỡng!$B$5,1,0))</f>
        <v/>
      </c>
      <c r="R39" s="14" t="str">
        <f aca="false">IF(H39="","",IF(H39&lt;&gt;"Yên",1,0))</f>
        <v/>
      </c>
      <c r="S39" s="14" t="str">
        <f aca="false">IF(K39="","",IF(K39&gt;Ngưỡng!$B$6,1,0))</f>
        <v/>
      </c>
      <c r="T39" s="14" t="str">
        <f aca="false">IF(N39="","",IF(N39&gt;=Ngưỡng!$B$3,1,0))</f>
        <v/>
      </c>
      <c r="U39" s="14" t="n">
        <f aca="false">IF(I39=5,U38+1,0)</f>
        <v>0</v>
      </c>
      <c r="V39" s="14" t="n">
        <f aca="false">IF(AND(F39&lt;&gt;"",F39&gt;=2),V38+1,0)</f>
        <v>0</v>
      </c>
      <c r="W39" s="14" t="n">
        <f aca="false">IF(O39=0,W38+1,0)</f>
        <v>10</v>
      </c>
      <c r="X39" s="14" t="str">
        <f aca="false">IF(OR(E39="",F39=""),"",ROUND((10*(E39-1)+10*(2-MIN(F39,2)))/60*100,0))</f>
        <v/>
      </c>
    </row>
    <row r="40" customFormat="false" ht="15" hidden="false" customHeight="false" outlineLevel="0" collapsed="false">
      <c r="A40" s="4" t="s">
        <v>83</v>
      </c>
      <c r="B40" s="4" t="n">
        <v>11</v>
      </c>
      <c r="C40" s="4" t="n">
        <f aca="false">IF(B40&lt;=7,1,2)</f>
        <v>2</v>
      </c>
      <c r="D40" s="15"/>
      <c r="E40" s="15"/>
      <c r="F40" s="15"/>
      <c r="G40" s="15"/>
      <c r="H40" s="15"/>
      <c r="I40" s="15"/>
      <c r="J40" s="15"/>
      <c r="K40" s="16"/>
      <c r="L40" s="16"/>
      <c r="M40" s="15"/>
      <c r="N40" s="14" t="str">
        <f aca="false">IF(OR(E40="",F40="",G40=""),"",10*(E40-1)+10*(G40-1)+10*(2-MIN(F40,2)))</f>
        <v/>
      </c>
      <c r="O40" s="14" t="n">
        <f aca="false">IF(AND(N40&lt;&gt;"",I40&lt;&gt;""),1,0)</f>
        <v>0</v>
      </c>
      <c r="P40" s="14" t="str">
        <f aca="false">IF(N40="","",IF(N40&lt;Ngưỡng!$B$4,1,0))</f>
        <v/>
      </c>
      <c r="Q40" s="14" t="str">
        <f aca="false">IF(I40="","",IF(I40&gt;=Ngưỡng!$B$5,1,0))</f>
        <v/>
      </c>
      <c r="R40" s="14" t="str">
        <f aca="false">IF(H40="","",IF(H40&lt;&gt;"Yên",1,0))</f>
        <v/>
      </c>
      <c r="S40" s="14" t="str">
        <f aca="false">IF(K40="","",IF(K40&gt;Ngưỡng!$B$6,1,0))</f>
        <v/>
      </c>
      <c r="T40" s="14" t="str">
        <f aca="false">IF(N40="","",IF(N40&gt;=Ngưỡng!$B$3,1,0))</f>
        <v/>
      </c>
      <c r="U40" s="14" t="n">
        <f aca="false">IF(I40=5,U39+1,0)</f>
        <v>0</v>
      </c>
      <c r="V40" s="14" t="n">
        <f aca="false">IF(AND(F40&lt;&gt;"",F40&gt;=2),V39+1,0)</f>
        <v>0</v>
      </c>
      <c r="W40" s="14" t="n">
        <f aca="false">IF(O40=0,W39+1,0)</f>
        <v>11</v>
      </c>
      <c r="X40" s="14" t="str">
        <f aca="false">IF(OR(E40="",F40=""),"",ROUND((10*(E40-1)+10*(2-MIN(F40,2)))/60*100,0))</f>
        <v/>
      </c>
    </row>
    <row r="41" customFormat="false" ht="15" hidden="false" customHeight="false" outlineLevel="0" collapsed="false">
      <c r="A41" s="4" t="s">
        <v>83</v>
      </c>
      <c r="B41" s="4" t="n">
        <v>12</v>
      </c>
      <c r="C41" s="4" t="n">
        <f aca="false">IF(B41&lt;=7,1,2)</f>
        <v>2</v>
      </c>
      <c r="D41" s="15"/>
      <c r="E41" s="15"/>
      <c r="F41" s="15"/>
      <c r="G41" s="15"/>
      <c r="H41" s="15"/>
      <c r="I41" s="15"/>
      <c r="J41" s="15"/>
      <c r="K41" s="16"/>
      <c r="L41" s="16"/>
      <c r="M41" s="15"/>
      <c r="N41" s="14" t="str">
        <f aca="false">IF(OR(E41="",F41="",G41=""),"",10*(E41-1)+10*(G41-1)+10*(2-MIN(F41,2)))</f>
        <v/>
      </c>
      <c r="O41" s="14" t="n">
        <f aca="false">IF(AND(N41&lt;&gt;"",I41&lt;&gt;""),1,0)</f>
        <v>0</v>
      </c>
      <c r="P41" s="14" t="str">
        <f aca="false">IF(N41="","",IF(N41&lt;Ngưỡng!$B$4,1,0))</f>
        <v/>
      </c>
      <c r="Q41" s="14" t="str">
        <f aca="false">IF(I41="","",IF(I41&gt;=Ngưỡng!$B$5,1,0))</f>
        <v/>
      </c>
      <c r="R41" s="14" t="str">
        <f aca="false">IF(H41="","",IF(H41&lt;&gt;"Yên",1,0))</f>
        <v/>
      </c>
      <c r="S41" s="14" t="str">
        <f aca="false">IF(K41="","",IF(K41&gt;Ngưỡng!$B$6,1,0))</f>
        <v/>
      </c>
      <c r="T41" s="14" t="str">
        <f aca="false">IF(N41="","",IF(N41&gt;=Ngưỡng!$B$3,1,0))</f>
        <v/>
      </c>
      <c r="U41" s="14" t="n">
        <f aca="false">IF(I41=5,U40+1,0)</f>
        <v>0</v>
      </c>
      <c r="V41" s="14" t="n">
        <f aca="false">IF(AND(F41&lt;&gt;"",F41&gt;=2),V40+1,0)</f>
        <v>0</v>
      </c>
      <c r="W41" s="14" t="n">
        <f aca="false">IF(O41=0,W40+1,0)</f>
        <v>12</v>
      </c>
      <c r="X41" s="14" t="str">
        <f aca="false">IF(OR(E41="",F41=""),"",ROUND((10*(E41-1)+10*(2-MIN(F41,2)))/60*100,0))</f>
        <v/>
      </c>
    </row>
    <row r="42" customFormat="false" ht="15" hidden="false" customHeight="false" outlineLevel="0" collapsed="false">
      <c r="A42" s="4" t="s">
        <v>83</v>
      </c>
      <c r="B42" s="4" t="n">
        <v>13</v>
      </c>
      <c r="C42" s="4" t="n">
        <f aca="false">IF(B42&lt;=7,1,2)</f>
        <v>2</v>
      </c>
      <c r="D42" s="15"/>
      <c r="E42" s="15"/>
      <c r="F42" s="15"/>
      <c r="G42" s="15"/>
      <c r="H42" s="15"/>
      <c r="I42" s="15"/>
      <c r="J42" s="15"/>
      <c r="K42" s="16"/>
      <c r="L42" s="16"/>
      <c r="M42" s="15"/>
      <c r="N42" s="14" t="str">
        <f aca="false">IF(OR(E42="",F42="",G42=""),"",10*(E42-1)+10*(G42-1)+10*(2-MIN(F42,2)))</f>
        <v/>
      </c>
      <c r="O42" s="14" t="n">
        <f aca="false">IF(AND(N42&lt;&gt;"",I42&lt;&gt;""),1,0)</f>
        <v>0</v>
      </c>
      <c r="P42" s="14" t="str">
        <f aca="false">IF(N42="","",IF(N42&lt;Ngưỡng!$B$4,1,0))</f>
        <v/>
      </c>
      <c r="Q42" s="14" t="str">
        <f aca="false">IF(I42="","",IF(I42&gt;=Ngưỡng!$B$5,1,0))</f>
        <v/>
      </c>
      <c r="R42" s="14" t="str">
        <f aca="false">IF(H42="","",IF(H42&lt;&gt;"Yên",1,0))</f>
        <v/>
      </c>
      <c r="S42" s="14" t="str">
        <f aca="false">IF(K42="","",IF(K42&gt;Ngưỡng!$B$6,1,0))</f>
        <v/>
      </c>
      <c r="T42" s="14" t="str">
        <f aca="false">IF(N42="","",IF(N42&gt;=Ngưỡng!$B$3,1,0))</f>
        <v/>
      </c>
      <c r="U42" s="14" t="n">
        <f aca="false">IF(I42=5,U41+1,0)</f>
        <v>0</v>
      </c>
      <c r="V42" s="14" t="n">
        <f aca="false">IF(AND(F42&lt;&gt;"",F42&gt;=2),V41+1,0)</f>
        <v>0</v>
      </c>
      <c r="W42" s="14" t="n">
        <f aca="false">IF(O42=0,W41+1,0)</f>
        <v>13</v>
      </c>
      <c r="X42" s="14" t="str">
        <f aca="false">IF(OR(E42="",F42=""),"",ROUND((10*(E42-1)+10*(2-MIN(F42,2)))/60*100,0))</f>
        <v/>
      </c>
    </row>
    <row r="43" customFormat="false" ht="15" hidden="false" customHeight="false" outlineLevel="0" collapsed="false">
      <c r="A43" s="4" t="s">
        <v>83</v>
      </c>
      <c r="B43" s="4" t="n">
        <v>14</v>
      </c>
      <c r="C43" s="4" t="n">
        <f aca="false">IF(B43&lt;=7,1,2)</f>
        <v>2</v>
      </c>
      <c r="D43" s="15"/>
      <c r="E43" s="15"/>
      <c r="F43" s="15"/>
      <c r="G43" s="15"/>
      <c r="H43" s="15"/>
      <c r="I43" s="15"/>
      <c r="J43" s="15"/>
      <c r="K43" s="16"/>
      <c r="L43" s="16"/>
      <c r="M43" s="15"/>
      <c r="N43" s="14" t="str">
        <f aca="false">IF(OR(E43="",F43="",G43=""),"",10*(E43-1)+10*(G43-1)+10*(2-MIN(F43,2)))</f>
        <v/>
      </c>
      <c r="O43" s="14" t="n">
        <f aca="false">IF(AND(N43&lt;&gt;"",I43&lt;&gt;""),1,0)</f>
        <v>0</v>
      </c>
      <c r="P43" s="14" t="str">
        <f aca="false">IF(N43="","",IF(N43&lt;Ngưỡng!$B$4,1,0))</f>
        <v/>
      </c>
      <c r="Q43" s="14" t="str">
        <f aca="false">IF(I43="","",IF(I43&gt;=Ngưỡng!$B$5,1,0))</f>
        <v/>
      </c>
      <c r="R43" s="14" t="str">
        <f aca="false">IF(H43="","",IF(H43&lt;&gt;"Yên",1,0))</f>
        <v/>
      </c>
      <c r="S43" s="14" t="str">
        <f aca="false">IF(K43="","",IF(K43&gt;Ngưỡng!$B$6,1,0))</f>
        <v/>
      </c>
      <c r="T43" s="14" t="str">
        <f aca="false">IF(N43="","",IF(N43&gt;=Ngưỡng!$B$3,1,0))</f>
        <v/>
      </c>
      <c r="U43" s="14" t="n">
        <f aca="false">IF(I43=5,U42+1,0)</f>
        <v>0</v>
      </c>
      <c r="V43" s="14" t="n">
        <f aca="false">IF(AND(F43&lt;&gt;"",F43&gt;=2),V42+1,0)</f>
        <v>0</v>
      </c>
      <c r="W43" s="14" t="n">
        <f aca="false">IF(O43=0,W42+1,0)</f>
        <v>14</v>
      </c>
      <c r="X43" s="14" t="str">
        <f aca="false">IF(OR(E43="",F43=""),"",ROUND((10*(E43-1)+10*(2-MIN(F43,2)))/60*100,0))</f>
        <v/>
      </c>
    </row>
    <row r="44" customFormat="false" ht="15" hidden="false" customHeight="false" outlineLevel="0" collapsed="false">
      <c r="A44" s="4" t="s">
        <v>84</v>
      </c>
      <c r="B44" s="4" t="n">
        <v>1</v>
      </c>
      <c r="C44" s="4" t="n">
        <f aca="false">IF(B44&lt;=7,1,2)</f>
        <v>1</v>
      </c>
      <c r="D44" s="15"/>
      <c r="E44" s="15"/>
      <c r="F44" s="15"/>
      <c r="G44" s="15"/>
      <c r="H44" s="15"/>
      <c r="I44" s="15"/>
      <c r="J44" s="15"/>
      <c r="K44" s="16"/>
      <c r="L44" s="16"/>
      <c r="M44" s="15"/>
      <c r="N44" s="14" t="str">
        <f aca="false">IF(OR(E44="",F44="",G44=""),"",10*(E44-1)+10*(G44-1)+10*(2-MIN(F44,2)))</f>
        <v/>
      </c>
      <c r="O44" s="14" t="n">
        <f aca="false">IF(AND(N44&lt;&gt;"",I44&lt;&gt;""),1,0)</f>
        <v>0</v>
      </c>
      <c r="P44" s="14" t="str">
        <f aca="false">IF(N44="","",IF(N44&lt;Ngưỡng!$B$4,1,0))</f>
        <v/>
      </c>
      <c r="Q44" s="14" t="str">
        <f aca="false">IF(I44="","",IF(I44&gt;=Ngưỡng!$B$5,1,0))</f>
        <v/>
      </c>
      <c r="R44" s="14" t="str">
        <f aca="false">IF(H44="","",IF(H44&lt;&gt;"Yên",1,0))</f>
        <v/>
      </c>
      <c r="S44" s="14" t="str">
        <f aca="false">IF(K44="","",IF(K44&gt;Ngưỡng!$B$6,1,0))</f>
        <v/>
      </c>
      <c r="T44" s="14" t="str">
        <f aca="false">IF(N44="","",IF(N44&gt;=Ngưỡng!$B$3,1,0))</f>
        <v/>
      </c>
      <c r="U44" s="14" t="n">
        <f aca="false">IF(I44=5,0+1,0)</f>
        <v>0</v>
      </c>
      <c r="V44" s="14" t="n">
        <f aca="false">IF(AND(F44&lt;&gt;"",F44&gt;=2),0+1,0)</f>
        <v>0</v>
      </c>
      <c r="W44" s="14" t="n">
        <f aca="false">IF(O44=0,0+1,0)</f>
        <v>1</v>
      </c>
      <c r="X44" s="14" t="str">
        <f aca="false">IF(OR(E44="",F44=""),"",ROUND((10*(E44-1)+10*(2-MIN(F44,2)))/60*100,0))</f>
        <v/>
      </c>
    </row>
    <row r="45" customFormat="false" ht="15" hidden="false" customHeight="false" outlineLevel="0" collapsed="false">
      <c r="A45" s="4" t="s">
        <v>84</v>
      </c>
      <c r="B45" s="4" t="n">
        <v>2</v>
      </c>
      <c r="C45" s="4" t="n">
        <f aca="false">IF(B45&lt;=7,1,2)</f>
        <v>1</v>
      </c>
      <c r="D45" s="15"/>
      <c r="E45" s="15"/>
      <c r="F45" s="15"/>
      <c r="G45" s="15"/>
      <c r="H45" s="15"/>
      <c r="I45" s="15"/>
      <c r="J45" s="15"/>
      <c r="K45" s="16"/>
      <c r="L45" s="16"/>
      <c r="M45" s="15"/>
      <c r="N45" s="14" t="str">
        <f aca="false">IF(OR(E45="",F45="",G45=""),"",10*(E45-1)+10*(G45-1)+10*(2-MIN(F45,2)))</f>
        <v/>
      </c>
      <c r="O45" s="14" t="n">
        <f aca="false">IF(AND(N45&lt;&gt;"",I45&lt;&gt;""),1,0)</f>
        <v>0</v>
      </c>
      <c r="P45" s="14" t="str">
        <f aca="false">IF(N45="","",IF(N45&lt;Ngưỡng!$B$4,1,0))</f>
        <v/>
      </c>
      <c r="Q45" s="14" t="str">
        <f aca="false">IF(I45="","",IF(I45&gt;=Ngưỡng!$B$5,1,0))</f>
        <v/>
      </c>
      <c r="R45" s="14" t="str">
        <f aca="false">IF(H45="","",IF(H45&lt;&gt;"Yên",1,0))</f>
        <v/>
      </c>
      <c r="S45" s="14" t="str">
        <f aca="false">IF(K45="","",IF(K45&gt;Ngưỡng!$B$6,1,0))</f>
        <v/>
      </c>
      <c r="T45" s="14" t="str">
        <f aca="false">IF(N45="","",IF(N45&gt;=Ngưỡng!$B$3,1,0))</f>
        <v/>
      </c>
      <c r="U45" s="14" t="n">
        <f aca="false">IF(I45=5,U44+1,0)</f>
        <v>0</v>
      </c>
      <c r="V45" s="14" t="n">
        <f aca="false">IF(AND(F45&lt;&gt;"",F45&gt;=2),V44+1,0)</f>
        <v>0</v>
      </c>
      <c r="W45" s="14" t="n">
        <f aca="false">IF(O45=0,W44+1,0)</f>
        <v>2</v>
      </c>
      <c r="X45" s="14" t="str">
        <f aca="false">IF(OR(E45="",F45=""),"",ROUND((10*(E45-1)+10*(2-MIN(F45,2)))/60*100,0))</f>
        <v/>
      </c>
    </row>
    <row r="46" customFormat="false" ht="15" hidden="false" customHeight="false" outlineLevel="0" collapsed="false">
      <c r="A46" s="4" t="s">
        <v>84</v>
      </c>
      <c r="B46" s="4" t="n">
        <v>3</v>
      </c>
      <c r="C46" s="4" t="n">
        <f aca="false">IF(B46&lt;=7,1,2)</f>
        <v>1</v>
      </c>
      <c r="D46" s="15"/>
      <c r="E46" s="15"/>
      <c r="F46" s="15"/>
      <c r="G46" s="15"/>
      <c r="H46" s="15"/>
      <c r="I46" s="15"/>
      <c r="J46" s="15"/>
      <c r="K46" s="16"/>
      <c r="L46" s="16"/>
      <c r="M46" s="15"/>
      <c r="N46" s="14" t="str">
        <f aca="false">IF(OR(E46="",F46="",G46=""),"",10*(E46-1)+10*(G46-1)+10*(2-MIN(F46,2)))</f>
        <v/>
      </c>
      <c r="O46" s="14" t="n">
        <f aca="false">IF(AND(N46&lt;&gt;"",I46&lt;&gt;""),1,0)</f>
        <v>0</v>
      </c>
      <c r="P46" s="14" t="str">
        <f aca="false">IF(N46="","",IF(N46&lt;Ngưỡng!$B$4,1,0))</f>
        <v/>
      </c>
      <c r="Q46" s="14" t="str">
        <f aca="false">IF(I46="","",IF(I46&gt;=Ngưỡng!$B$5,1,0))</f>
        <v/>
      </c>
      <c r="R46" s="14" t="str">
        <f aca="false">IF(H46="","",IF(H46&lt;&gt;"Yên",1,0))</f>
        <v/>
      </c>
      <c r="S46" s="14" t="str">
        <f aca="false">IF(K46="","",IF(K46&gt;Ngưỡng!$B$6,1,0))</f>
        <v/>
      </c>
      <c r="T46" s="14" t="str">
        <f aca="false">IF(N46="","",IF(N46&gt;=Ngưỡng!$B$3,1,0))</f>
        <v/>
      </c>
      <c r="U46" s="14" t="n">
        <f aca="false">IF(I46=5,U45+1,0)</f>
        <v>0</v>
      </c>
      <c r="V46" s="14" t="n">
        <f aca="false">IF(AND(F46&lt;&gt;"",F46&gt;=2),V45+1,0)</f>
        <v>0</v>
      </c>
      <c r="W46" s="14" t="n">
        <f aca="false">IF(O46=0,W45+1,0)</f>
        <v>3</v>
      </c>
      <c r="X46" s="14" t="str">
        <f aca="false">IF(OR(E46="",F46=""),"",ROUND((10*(E46-1)+10*(2-MIN(F46,2)))/60*100,0))</f>
        <v/>
      </c>
    </row>
    <row r="47" customFormat="false" ht="15" hidden="false" customHeight="false" outlineLevel="0" collapsed="false">
      <c r="A47" s="4" t="s">
        <v>84</v>
      </c>
      <c r="B47" s="4" t="n">
        <v>4</v>
      </c>
      <c r="C47" s="4" t="n">
        <f aca="false">IF(B47&lt;=7,1,2)</f>
        <v>1</v>
      </c>
      <c r="D47" s="15"/>
      <c r="E47" s="15"/>
      <c r="F47" s="15"/>
      <c r="G47" s="15"/>
      <c r="H47" s="15"/>
      <c r="I47" s="15"/>
      <c r="J47" s="15"/>
      <c r="K47" s="16"/>
      <c r="L47" s="16"/>
      <c r="M47" s="15"/>
      <c r="N47" s="14" t="str">
        <f aca="false">IF(OR(E47="",F47="",G47=""),"",10*(E47-1)+10*(G47-1)+10*(2-MIN(F47,2)))</f>
        <v/>
      </c>
      <c r="O47" s="14" t="n">
        <f aca="false">IF(AND(N47&lt;&gt;"",I47&lt;&gt;""),1,0)</f>
        <v>0</v>
      </c>
      <c r="P47" s="14" t="str">
        <f aca="false">IF(N47="","",IF(N47&lt;Ngưỡng!$B$4,1,0))</f>
        <v/>
      </c>
      <c r="Q47" s="14" t="str">
        <f aca="false">IF(I47="","",IF(I47&gt;=Ngưỡng!$B$5,1,0))</f>
        <v/>
      </c>
      <c r="R47" s="14" t="str">
        <f aca="false">IF(H47="","",IF(H47&lt;&gt;"Yên",1,0))</f>
        <v/>
      </c>
      <c r="S47" s="14" t="str">
        <f aca="false">IF(K47="","",IF(K47&gt;Ngưỡng!$B$6,1,0))</f>
        <v/>
      </c>
      <c r="T47" s="14" t="str">
        <f aca="false">IF(N47="","",IF(N47&gt;=Ngưỡng!$B$3,1,0))</f>
        <v/>
      </c>
      <c r="U47" s="14" t="n">
        <f aca="false">IF(I47=5,U46+1,0)</f>
        <v>0</v>
      </c>
      <c r="V47" s="14" t="n">
        <f aca="false">IF(AND(F47&lt;&gt;"",F47&gt;=2),V46+1,0)</f>
        <v>0</v>
      </c>
      <c r="W47" s="14" t="n">
        <f aca="false">IF(O47=0,W46+1,0)</f>
        <v>4</v>
      </c>
      <c r="X47" s="14" t="str">
        <f aca="false">IF(OR(E47="",F47=""),"",ROUND((10*(E47-1)+10*(2-MIN(F47,2)))/60*100,0))</f>
        <v/>
      </c>
    </row>
    <row r="48" customFormat="false" ht="15" hidden="false" customHeight="false" outlineLevel="0" collapsed="false">
      <c r="A48" s="4" t="s">
        <v>84</v>
      </c>
      <c r="B48" s="4" t="n">
        <v>5</v>
      </c>
      <c r="C48" s="4" t="n">
        <f aca="false">IF(B48&lt;=7,1,2)</f>
        <v>1</v>
      </c>
      <c r="D48" s="15"/>
      <c r="E48" s="15"/>
      <c r="F48" s="15"/>
      <c r="G48" s="15"/>
      <c r="H48" s="15"/>
      <c r="I48" s="15"/>
      <c r="J48" s="15"/>
      <c r="K48" s="16"/>
      <c r="L48" s="16"/>
      <c r="M48" s="15"/>
      <c r="N48" s="14" t="str">
        <f aca="false">IF(OR(E48="",F48="",G48=""),"",10*(E48-1)+10*(G48-1)+10*(2-MIN(F48,2)))</f>
        <v/>
      </c>
      <c r="O48" s="14" t="n">
        <f aca="false">IF(AND(N48&lt;&gt;"",I48&lt;&gt;""),1,0)</f>
        <v>0</v>
      </c>
      <c r="P48" s="14" t="str">
        <f aca="false">IF(N48="","",IF(N48&lt;Ngưỡng!$B$4,1,0))</f>
        <v/>
      </c>
      <c r="Q48" s="14" t="str">
        <f aca="false">IF(I48="","",IF(I48&gt;=Ngưỡng!$B$5,1,0))</f>
        <v/>
      </c>
      <c r="R48" s="14" t="str">
        <f aca="false">IF(H48="","",IF(H48&lt;&gt;"Yên",1,0))</f>
        <v/>
      </c>
      <c r="S48" s="14" t="str">
        <f aca="false">IF(K48="","",IF(K48&gt;Ngưỡng!$B$6,1,0))</f>
        <v/>
      </c>
      <c r="T48" s="14" t="str">
        <f aca="false">IF(N48="","",IF(N48&gt;=Ngưỡng!$B$3,1,0))</f>
        <v/>
      </c>
      <c r="U48" s="14" t="n">
        <f aca="false">IF(I48=5,U47+1,0)</f>
        <v>0</v>
      </c>
      <c r="V48" s="14" t="n">
        <f aca="false">IF(AND(F48&lt;&gt;"",F48&gt;=2),V47+1,0)</f>
        <v>0</v>
      </c>
      <c r="W48" s="14" t="n">
        <f aca="false">IF(O48=0,W47+1,0)</f>
        <v>5</v>
      </c>
      <c r="X48" s="14" t="str">
        <f aca="false">IF(OR(E48="",F48=""),"",ROUND((10*(E48-1)+10*(2-MIN(F48,2)))/60*100,0))</f>
        <v/>
      </c>
    </row>
    <row r="49" customFormat="false" ht="15" hidden="false" customHeight="false" outlineLevel="0" collapsed="false">
      <c r="A49" s="4" t="s">
        <v>84</v>
      </c>
      <c r="B49" s="4" t="n">
        <v>6</v>
      </c>
      <c r="C49" s="4" t="n">
        <f aca="false">IF(B49&lt;=7,1,2)</f>
        <v>1</v>
      </c>
      <c r="D49" s="15"/>
      <c r="E49" s="15"/>
      <c r="F49" s="15"/>
      <c r="G49" s="15"/>
      <c r="H49" s="15"/>
      <c r="I49" s="15"/>
      <c r="J49" s="15"/>
      <c r="K49" s="16"/>
      <c r="L49" s="16"/>
      <c r="M49" s="15"/>
      <c r="N49" s="14" t="str">
        <f aca="false">IF(OR(E49="",F49="",G49=""),"",10*(E49-1)+10*(G49-1)+10*(2-MIN(F49,2)))</f>
        <v/>
      </c>
      <c r="O49" s="14" t="n">
        <f aca="false">IF(AND(N49&lt;&gt;"",I49&lt;&gt;""),1,0)</f>
        <v>0</v>
      </c>
      <c r="P49" s="14" t="str">
        <f aca="false">IF(N49="","",IF(N49&lt;Ngưỡng!$B$4,1,0))</f>
        <v/>
      </c>
      <c r="Q49" s="14" t="str">
        <f aca="false">IF(I49="","",IF(I49&gt;=Ngưỡng!$B$5,1,0))</f>
        <v/>
      </c>
      <c r="R49" s="14" t="str">
        <f aca="false">IF(H49="","",IF(H49&lt;&gt;"Yên",1,0))</f>
        <v/>
      </c>
      <c r="S49" s="14" t="str">
        <f aca="false">IF(K49="","",IF(K49&gt;Ngưỡng!$B$6,1,0))</f>
        <v/>
      </c>
      <c r="T49" s="14" t="str">
        <f aca="false">IF(N49="","",IF(N49&gt;=Ngưỡng!$B$3,1,0))</f>
        <v/>
      </c>
      <c r="U49" s="14" t="n">
        <f aca="false">IF(I49=5,U48+1,0)</f>
        <v>0</v>
      </c>
      <c r="V49" s="14" t="n">
        <f aca="false">IF(AND(F49&lt;&gt;"",F49&gt;=2),V48+1,0)</f>
        <v>0</v>
      </c>
      <c r="W49" s="14" t="n">
        <f aca="false">IF(O49=0,W48+1,0)</f>
        <v>6</v>
      </c>
      <c r="X49" s="14" t="str">
        <f aca="false">IF(OR(E49="",F49=""),"",ROUND((10*(E49-1)+10*(2-MIN(F49,2)))/60*100,0))</f>
        <v/>
      </c>
    </row>
    <row r="50" customFormat="false" ht="15" hidden="false" customHeight="false" outlineLevel="0" collapsed="false">
      <c r="A50" s="4" t="s">
        <v>84</v>
      </c>
      <c r="B50" s="4" t="n">
        <v>7</v>
      </c>
      <c r="C50" s="4" t="n">
        <f aca="false">IF(B50&lt;=7,1,2)</f>
        <v>1</v>
      </c>
      <c r="D50" s="15"/>
      <c r="E50" s="15"/>
      <c r="F50" s="15"/>
      <c r="G50" s="15"/>
      <c r="H50" s="15"/>
      <c r="I50" s="15"/>
      <c r="J50" s="15"/>
      <c r="K50" s="16"/>
      <c r="L50" s="16"/>
      <c r="M50" s="15"/>
      <c r="N50" s="14" t="str">
        <f aca="false">IF(OR(E50="",F50="",G50=""),"",10*(E50-1)+10*(G50-1)+10*(2-MIN(F50,2)))</f>
        <v/>
      </c>
      <c r="O50" s="14" t="n">
        <f aca="false">IF(AND(N50&lt;&gt;"",I50&lt;&gt;""),1,0)</f>
        <v>0</v>
      </c>
      <c r="P50" s="14" t="str">
        <f aca="false">IF(N50="","",IF(N50&lt;Ngưỡng!$B$4,1,0))</f>
        <v/>
      </c>
      <c r="Q50" s="14" t="str">
        <f aca="false">IF(I50="","",IF(I50&gt;=Ngưỡng!$B$5,1,0))</f>
        <v/>
      </c>
      <c r="R50" s="14" t="str">
        <f aca="false">IF(H50="","",IF(H50&lt;&gt;"Yên",1,0))</f>
        <v/>
      </c>
      <c r="S50" s="14" t="str">
        <f aca="false">IF(K50="","",IF(K50&gt;Ngưỡng!$B$6,1,0))</f>
        <v/>
      </c>
      <c r="T50" s="14" t="str">
        <f aca="false">IF(N50="","",IF(N50&gt;=Ngưỡng!$B$3,1,0))</f>
        <v/>
      </c>
      <c r="U50" s="14" t="n">
        <f aca="false">IF(I50=5,U49+1,0)</f>
        <v>0</v>
      </c>
      <c r="V50" s="14" t="n">
        <f aca="false">IF(AND(F50&lt;&gt;"",F50&gt;=2),V49+1,0)</f>
        <v>0</v>
      </c>
      <c r="W50" s="14" t="n">
        <f aca="false">IF(O50=0,W49+1,0)</f>
        <v>7</v>
      </c>
      <c r="X50" s="14" t="str">
        <f aca="false">IF(OR(E50="",F50=""),"",ROUND((10*(E50-1)+10*(2-MIN(F50,2)))/60*100,0))</f>
        <v/>
      </c>
    </row>
    <row r="51" customFormat="false" ht="15" hidden="false" customHeight="false" outlineLevel="0" collapsed="false">
      <c r="A51" s="4" t="s">
        <v>84</v>
      </c>
      <c r="B51" s="4" t="n">
        <v>8</v>
      </c>
      <c r="C51" s="4" t="n">
        <f aca="false">IF(B51&lt;=7,1,2)</f>
        <v>2</v>
      </c>
      <c r="D51" s="15"/>
      <c r="E51" s="15"/>
      <c r="F51" s="15"/>
      <c r="G51" s="15"/>
      <c r="H51" s="15"/>
      <c r="I51" s="15"/>
      <c r="J51" s="15"/>
      <c r="K51" s="16"/>
      <c r="L51" s="16"/>
      <c r="M51" s="15"/>
      <c r="N51" s="14" t="str">
        <f aca="false">IF(OR(E51="",F51="",G51=""),"",10*(E51-1)+10*(G51-1)+10*(2-MIN(F51,2)))</f>
        <v/>
      </c>
      <c r="O51" s="14" t="n">
        <f aca="false">IF(AND(N51&lt;&gt;"",I51&lt;&gt;""),1,0)</f>
        <v>0</v>
      </c>
      <c r="P51" s="14" t="str">
        <f aca="false">IF(N51="","",IF(N51&lt;Ngưỡng!$B$4,1,0))</f>
        <v/>
      </c>
      <c r="Q51" s="14" t="str">
        <f aca="false">IF(I51="","",IF(I51&gt;=Ngưỡng!$B$5,1,0))</f>
        <v/>
      </c>
      <c r="R51" s="14" t="str">
        <f aca="false">IF(H51="","",IF(H51&lt;&gt;"Yên",1,0))</f>
        <v/>
      </c>
      <c r="S51" s="14" t="str">
        <f aca="false">IF(K51="","",IF(K51&gt;Ngưỡng!$B$6,1,0))</f>
        <v/>
      </c>
      <c r="T51" s="14" t="str">
        <f aca="false">IF(N51="","",IF(N51&gt;=Ngưỡng!$B$3,1,0))</f>
        <v/>
      </c>
      <c r="U51" s="14" t="n">
        <f aca="false">IF(I51=5,U50+1,0)</f>
        <v>0</v>
      </c>
      <c r="V51" s="14" t="n">
        <f aca="false">IF(AND(F51&lt;&gt;"",F51&gt;=2),V50+1,0)</f>
        <v>0</v>
      </c>
      <c r="W51" s="14" t="n">
        <f aca="false">IF(O51=0,W50+1,0)</f>
        <v>8</v>
      </c>
      <c r="X51" s="14" t="str">
        <f aca="false">IF(OR(E51="",F51=""),"",ROUND((10*(E51-1)+10*(2-MIN(F51,2)))/60*100,0))</f>
        <v/>
      </c>
    </row>
    <row r="52" customFormat="false" ht="15" hidden="false" customHeight="false" outlineLevel="0" collapsed="false">
      <c r="A52" s="4" t="s">
        <v>84</v>
      </c>
      <c r="B52" s="4" t="n">
        <v>9</v>
      </c>
      <c r="C52" s="4" t="n">
        <f aca="false">IF(B52&lt;=7,1,2)</f>
        <v>2</v>
      </c>
      <c r="D52" s="15"/>
      <c r="E52" s="15"/>
      <c r="F52" s="15"/>
      <c r="G52" s="15"/>
      <c r="H52" s="15"/>
      <c r="I52" s="15"/>
      <c r="J52" s="15"/>
      <c r="K52" s="16"/>
      <c r="L52" s="16"/>
      <c r="M52" s="15"/>
      <c r="N52" s="14" t="str">
        <f aca="false">IF(OR(E52="",F52="",G52=""),"",10*(E52-1)+10*(G52-1)+10*(2-MIN(F52,2)))</f>
        <v/>
      </c>
      <c r="O52" s="14" t="n">
        <f aca="false">IF(AND(N52&lt;&gt;"",I52&lt;&gt;""),1,0)</f>
        <v>0</v>
      </c>
      <c r="P52" s="14" t="str">
        <f aca="false">IF(N52="","",IF(N52&lt;Ngưỡng!$B$4,1,0))</f>
        <v/>
      </c>
      <c r="Q52" s="14" t="str">
        <f aca="false">IF(I52="","",IF(I52&gt;=Ngưỡng!$B$5,1,0))</f>
        <v/>
      </c>
      <c r="R52" s="14" t="str">
        <f aca="false">IF(H52="","",IF(H52&lt;&gt;"Yên",1,0))</f>
        <v/>
      </c>
      <c r="S52" s="14" t="str">
        <f aca="false">IF(K52="","",IF(K52&gt;Ngưỡng!$B$6,1,0))</f>
        <v/>
      </c>
      <c r="T52" s="14" t="str">
        <f aca="false">IF(N52="","",IF(N52&gt;=Ngưỡng!$B$3,1,0))</f>
        <v/>
      </c>
      <c r="U52" s="14" t="n">
        <f aca="false">IF(I52=5,U51+1,0)</f>
        <v>0</v>
      </c>
      <c r="V52" s="14" t="n">
        <f aca="false">IF(AND(F52&lt;&gt;"",F52&gt;=2),V51+1,0)</f>
        <v>0</v>
      </c>
      <c r="W52" s="14" t="n">
        <f aca="false">IF(O52=0,W51+1,0)</f>
        <v>9</v>
      </c>
      <c r="X52" s="14" t="str">
        <f aca="false">IF(OR(E52="",F52=""),"",ROUND((10*(E52-1)+10*(2-MIN(F52,2)))/60*100,0))</f>
        <v/>
      </c>
    </row>
    <row r="53" customFormat="false" ht="15" hidden="false" customHeight="false" outlineLevel="0" collapsed="false">
      <c r="A53" s="4" t="s">
        <v>84</v>
      </c>
      <c r="B53" s="4" t="n">
        <v>10</v>
      </c>
      <c r="C53" s="4" t="n">
        <f aca="false">IF(B53&lt;=7,1,2)</f>
        <v>2</v>
      </c>
      <c r="D53" s="15"/>
      <c r="E53" s="15"/>
      <c r="F53" s="15"/>
      <c r="G53" s="15"/>
      <c r="H53" s="15"/>
      <c r="I53" s="15"/>
      <c r="J53" s="15"/>
      <c r="K53" s="16"/>
      <c r="L53" s="16"/>
      <c r="M53" s="15"/>
      <c r="N53" s="14" t="str">
        <f aca="false">IF(OR(E53="",F53="",G53=""),"",10*(E53-1)+10*(G53-1)+10*(2-MIN(F53,2)))</f>
        <v/>
      </c>
      <c r="O53" s="14" t="n">
        <f aca="false">IF(AND(N53&lt;&gt;"",I53&lt;&gt;""),1,0)</f>
        <v>0</v>
      </c>
      <c r="P53" s="14" t="str">
        <f aca="false">IF(N53="","",IF(N53&lt;Ngưỡng!$B$4,1,0))</f>
        <v/>
      </c>
      <c r="Q53" s="14" t="str">
        <f aca="false">IF(I53="","",IF(I53&gt;=Ngưỡng!$B$5,1,0))</f>
        <v/>
      </c>
      <c r="R53" s="14" t="str">
        <f aca="false">IF(H53="","",IF(H53&lt;&gt;"Yên",1,0))</f>
        <v/>
      </c>
      <c r="S53" s="14" t="str">
        <f aca="false">IF(K53="","",IF(K53&gt;Ngưỡng!$B$6,1,0))</f>
        <v/>
      </c>
      <c r="T53" s="14" t="str">
        <f aca="false">IF(N53="","",IF(N53&gt;=Ngưỡng!$B$3,1,0))</f>
        <v/>
      </c>
      <c r="U53" s="14" t="n">
        <f aca="false">IF(I53=5,U52+1,0)</f>
        <v>0</v>
      </c>
      <c r="V53" s="14" t="n">
        <f aca="false">IF(AND(F53&lt;&gt;"",F53&gt;=2),V52+1,0)</f>
        <v>0</v>
      </c>
      <c r="W53" s="14" t="n">
        <f aca="false">IF(O53=0,W52+1,0)</f>
        <v>10</v>
      </c>
      <c r="X53" s="14" t="str">
        <f aca="false">IF(OR(E53="",F53=""),"",ROUND((10*(E53-1)+10*(2-MIN(F53,2)))/60*100,0))</f>
        <v/>
      </c>
    </row>
    <row r="54" customFormat="false" ht="15" hidden="false" customHeight="false" outlineLevel="0" collapsed="false">
      <c r="A54" s="4" t="s">
        <v>84</v>
      </c>
      <c r="B54" s="4" t="n">
        <v>11</v>
      </c>
      <c r="C54" s="4" t="n">
        <f aca="false">IF(B54&lt;=7,1,2)</f>
        <v>2</v>
      </c>
      <c r="D54" s="15"/>
      <c r="E54" s="15"/>
      <c r="F54" s="15"/>
      <c r="G54" s="15"/>
      <c r="H54" s="15"/>
      <c r="I54" s="15"/>
      <c r="J54" s="15"/>
      <c r="K54" s="16"/>
      <c r="L54" s="16"/>
      <c r="M54" s="15"/>
      <c r="N54" s="14" t="str">
        <f aca="false">IF(OR(E54="",F54="",G54=""),"",10*(E54-1)+10*(G54-1)+10*(2-MIN(F54,2)))</f>
        <v/>
      </c>
      <c r="O54" s="14" t="n">
        <f aca="false">IF(AND(N54&lt;&gt;"",I54&lt;&gt;""),1,0)</f>
        <v>0</v>
      </c>
      <c r="P54" s="14" t="str">
        <f aca="false">IF(N54="","",IF(N54&lt;Ngưỡng!$B$4,1,0))</f>
        <v/>
      </c>
      <c r="Q54" s="14" t="str">
        <f aca="false">IF(I54="","",IF(I54&gt;=Ngưỡng!$B$5,1,0))</f>
        <v/>
      </c>
      <c r="R54" s="14" t="str">
        <f aca="false">IF(H54="","",IF(H54&lt;&gt;"Yên",1,0))</f>
        <v/>
      </c>
      <c r="S54" s="14" t="str">
        <f aca="false">IF(K54="","",IF(K54&gt;Ngưỡng!$B$6,1,0))</f>
        <v/>
      </c>
      <c r="T54" s="14" t="str">
        <f aca="false">IF(N54="","",IF(N54&gt;=Ngưỡng!$B$3,1,0))</f>
        <v/>
      </c>
      <c r="U54" s="14" t="n">
        <f aca="false">IF(I54=5,U53+1,0)</f>
        <v>0</v>
      </c>
      <c r="V54" s="14" t="n">
        <f aca="false">IF(AND(F54&lt;&gt;"",F54&gt;=2),V53+1,0)</f>
        <v>0</v>
      </c>
      <c r="W54" s="14" t="n">
        <f aca="false">IF(O54=0,W53+1,0)</f>
        <v>11</v>
      </c>
      <c r="X54" s="14" t="str">
        <f aca="false">IF(OR(E54="",F54=""),"",ROUND((10*(E54-1)+10*(2-MIN(F54,2)))/60*100,0))</f>
        <v/>
      </c>
    </row>
    <row r="55" customFormat="false" ht="15" hidden="false" customHeight="false" outlineLevel="0" collapsed="false">
      <c r="A55" s="4" t="s">
        <v>84</v>
      </c>
      <c r="B55" s="4" t="n">
        <v>12</v>
      </c>
      <c r="C55" s="4" t="n">
        <f aca="false">IF(B55&lt;=7,1,2)</f>
        <v>2</v>
      </c>
      <c r="D55" s="15"/>
      <c r="E55" s="15"/>
      <c r="F55" s="15"/>
      <c r="G55" s="15"/>
      <c r="H55" s="15"/>
      <c r="I55" s="15"/>
      <c r="J55" s="15"/>
      <c r="K55" s="16"/>
      <c r="L55" s="16"/>
      <c r="M55" s="15"/>
      <c r="N55" s="14" t="str">
        <f aca="false">IF(OR(E55="",F55="",G55=""),"",10*(E55-1)+10*(G55-1)+10*(2-MIN(F55,2)))</f>
        <v/>
      </c>
      <c r="O55" s="14" t="n">
        <f aca="false">IF(AND(N55&lt;&gt;"",I55&lt;&gt;""),1,0)</f>
        <v>0</v>
      </c>
      <c r="P55" s="14" t="str">
        <f aca="false">IF(N55="","",IF(N55&lt;Ngưỡng!$B$4,1,0))</f>
        <v/>
      </c>
      <c r="Q55" s="14" t="str">
        <f aca="false">IF(I55="","",IF(I55&gt;=Ngưỡng!$B$5,1,0))</f>
        <v/>
      </c>
      <c r="R55" s="14" t="str">
        <f aca="false">IF(H55="","",IF(H55&lt;&gt;"Yên",1,0))</f>
        <v/>
      </c>
      <c r="S55" s="14" t="str">
        <f aca="false">IF(K55="","",IF(K55&gt;Ngưỡng!$B$6,1,0))</f>
        <v/>
      </c>
      <c r="T55" s="14" t="str">
        <f aca="false">IF(N55="","",IF(N55&gt;=Ngưỡng!$B$3,1,0))</f>
        <v/>
      </c>
      <c r="U55" s="14" t="n">
        <f aca="false">IF(I55=5,U54+1,0)</f>
        <v>0</v>
      </c>
      <c r="V55" s="14" t="n">
        <f aca="false">IF(AND(F55&lt;&gt;"",F55&gt;=2),V54+1,0)</f>
        <v>0</v>
      </c>
      <c r="W55" s="14" t="n">
        <f aca="false">IF(O55=0,W54+1,0)</f>
        <v>12</v>
      </c>
      <c r="X55" s="14" t="str">
        <f aca="false">IF(OR(E55="",F55=""),"",ROUND((10*(E55-1)+10*(2-MIN(F55,2)))/60*100,0))</f>
        <v/>
      </c>
    </row>
    <row r="56" customFormat="false" ht="15" hidden="false" customHeight="false" outlineLevel="0" collapsed="false">
      <c r="A56" s="4" t="s">
        <v>84</v>
      </c>
      <c r="B56" s="4" t="n">
        <v>13</v>
      </c>
      <c r="C56" s="4" t="n">
        <f aca="false">IF(B56&lt;=7,1,2)</f>
        <v>2</v>
      </c>
      <c r="D56" s="15"/>
      <c r="E56" s="15"/>
      <c r="F56" s="15"/>
      <c r="G56" s="15"/>
      <c r="H56" s="15"/>
      <c r="I56" s="15"/>
      <c r="J56" s="15"/>
      <c r="K56" s="16"/>
      <c r="L56" s="16"/>
      <c r="M56" s="15"/>
      <c r="N56" s="14" t="str">
        <f aca="false">IF(OR(E56="",F56="",G56=""),"",10*(E56-1)+10*(G56-1)+10*(2-MIN(F56,2)))</f>
        <v/>
      </c>
      <c r="O56" s="14" t="n">
        <f aca="false">IF(AND(N56&lt;&gt;"",I56&lt;&gt;""),1,0)</f>
        <v>0</v>
      </c>
      <c r="P56" s="14" t="str">
        <f aca="false">IF(N56="","",IF(N56&lt;Ngưỡng!$B$4,1,0))</f>
        <v/>
      </c>
      <c r="Q56" s="14" t="str">
        <f aca="false">IF(I56="","",IF(I56&gt;=Ngưỡng!$B$5,1,0))</f>
        <v/>
      </c>
      <c r="R56" s="14" t="str">
        <f aca="false">IF(H56="","",IF(H56&lt;&gt;"Yên",1,0))</f>
        <v/>
      </c>
      <c r="S56" s="14" t="str">
        <f aca="false">IF(K56="","",IF(K56&gt;Ngưỡng!$B$6,1,0))</f>
        <v/>
      </c>
      <c r="T56" s="14" t="str">
        <f aca="false">IF(N56="","",IF(N56&gt;=Ngưỡng!$B$3,1,0))</f>
        <v/>
      </c>
      <c r="U56" s="14" t="n">
        <f aca="false">IF(I56=5,U55+1,0)</f>
        <v>0</v>
      </c>
      <c r="V56" s="14" t="n">
        <f aca="false">IF(AND(F56&lt;&gt;"",F56&gt;=2),V55+1,0)</f>
        <v>0</v>
      </c>
      <c r="W56" s="14" t="n">
        <f aca="false">IF(O56=0,W55+1,0)</f>
        <v>13</v>
      </c>
      <c r="X56" s="14" t="str">
        <f aca="false">IF(OR(E56="",F56=""),"",ROUND((10*(E56-1)+10*(2-MIN(F56,2)))/60*100,0))</f>
        <v/>
      </c>
    </row>
    <row r="57" customFormat="false" ht="15" hidden="false" customHeight="false" outlineLevel="0" collapsed="false">
      <c r="A57" s="4" t="s">
        <v>84</v>
      </c>
      <c r="B57" s="4" t="n">
        <v>14</v>
      </c>
      <c r="C57" s="4" t="n">
        <f aca="false">IF(B57&lt;=7,1,2)</f>
        <v>2</v>
      </c>
      <c r="D57" s="15"/>
      <c r="E57" s="15"/>
      <c r="F57" s="15"/>
      <c r="G57" s="15"/>
      <c r="H57" s="15"/>
      <c r="I57" s="15"/>
      <c r="J57" s="15"/>
      <c r="K57" s="16"/>
      <c r="L57" s="16"/>
      <c r="M57" s="15"/>
      <c r="N57" s="14" t="str">
        <f aca="false">IF(OR(E57="",F57="",G57=""),"",10*(E57-1)+10*(G57-1)+10*(2-MIN(F57,2)))</f>
        <v/>
      </c>
      <c r="O57" s="14" t="n">
        <f aca="false">IF(AND(N57&lt;&gt;"",I57&lt;&gt;""),1,0)</f>
        <v>0</v>
      </c>
      <c r="P57" s="14" t="str">
        <f aca="false">IF(N57="","",IF(N57&lt;Ngưỡng!$B$4,1,0))</f>
        <v/>
      </c>
      <c r="Q57" s="14" t="str">
        <f aca="false">IF(I57="","",IF(I57&gt;=Ngưỡng!$B$5,1,0))</f>
        <v/>
      </c>
      <c r="R57" s="14" t="str">
        <f aca="false">IF(H57="","",IF(H57&lt;&gt;"Yên",1,0))</f>
        <v/>
      </c>
      <c r="S57" s="14" t="str">
        <f aca="false">IF(K57="","",IF(K57&gt;Ngưỡng!$B$6,1,0))</f>
        <v/>
      </c>
      <c r="T57" s="14" t="str">
        <f aca="false">IF(N57="","",IF(N57&gt;=Ngưỡng!$B$3,1,0))</f>
        <v/>
      </c>
      <c r="U57" s="14" t="n">
        <f aca="false">IF(I57=5,U56+1,0)</f>
        <v>0</v>
      </c>
      <c r="V57" s="14" t="n">
        <f aca="false">IF(AND(F57&lt;&gt;"",F57&gt;=2),V56+1,0)</f>
        <v>0</v>
      </c>
      <c r="W57" s="14" t="n">
        <f aca="false">IF(O57=0,W56+1,0)</f>
        <v>14</v>
      </c>
      <c r="X57" s="14" t="str">
        <f aca="false">IF(OR(E57="",F57=""),"",ROUND((10*(E57-1)+10*(2-MIN(F57,2)))/60*100,0))</f>
        <v/>
      </c>
    </row>
    <row r="58" customFormat="false" ht="15" hidden="false" customHeight="false" outlineLevel="0" collapsed="false">
      <c r="A58" s="4" t="s">
        <v>85</v>
      </c>
      <c r="B58" s="4" t="n">
        <v>1</v>
      </c>
      <c r="C58" s="4" t="n">
        <f aca="false">IF(B58&lt;=7,1,2)</f>
        <v>1</v>
      </c>
      <c r="D58" s="15"/>
      <c r="E58" s="15"/>
      <c r="F58" s="15"/>
      <c r="G58" s="15"/>
      <c r="H58" s="15"/>
      <c r="I58" s="15"/>
      <c r="J58" s="15"/>
      <c r="K58" s="16"/>
      <c r="L58" s="16"/>
      <c r="M58" s="15"/>
      <c r="N58" s="14" t="str">
        <f aca="false">IF(OR(E58="",F58="",G58=""),"",10*(E58-1)+10*(G58-1)+10*(2-MIN(F58,2)))</f>
        <v/>
      </c>
      <c r="O58" s="14" t="n">
        <f aca="false">IF(AND(N58&lt;&gt;"",I58&lt;&gt;""),1,0)</f>
        <v>0</v>
      </c>
      <c r="P58" s="14" t="str">
        <f aca="false">IF(N58="","",IF(N58&lt;Ngưỡng!$B$4,1,0))</f>
        <v/>
      </c>
      <c r="Q58" s="14" t="str">
        <f aca="false">IF(I58="","",IF(I58&gt;=Ngưỡng!$B$5,1,0))</f>
        <v/>
      </c>
      <c r="R58" s="14" t="str">
        <f aca="false">IF(H58="","",IF(H58&lt;&gt;"Yên",1,0))</f>
        <v/>
      </c>
      <c r="S58" s="14" t="str">
        <f aca="false">IF(K58="","",IF(K58&gt;Ngưỡng!$B$6,1,0))</f>
        <v/>
      </c>
      <c r="T58" s="14" t="str">
        <f aca="false">IF(N58="","",IF(N58&gt;=Ngưỡng!$B$3,1,0))</f>
        <v/>
      </c>
      <c r="U58" s="14" t="n">
        <f aca="false">IF(I58=5,0+1,0)</f>
        <v>0</v>
      </c>
      <c r="V58" s="14" t="n">
        <f aca="false">IF(AND(F58&lt;&gt;"",F58&gt;=2),0+1,0)</f>
        <v>0</v>
      </c>
      <c r="W58" s="14" t="n">
        <f aca="false">IF(O58=0,0+1,0)</f>
        <v>1</v>
      </c>
      <c r="X58" s="14" t="str">
        <f aca="false">IF(OR(E58="",F58=""),"",ROUND((10*(E58-1)+10*(2-MIN(F58,2)))/60*100,0))</f>
        <v/>
      </c>
    </row>
    <row r="59" customFormat="false" ht="15" hidden="false" customHeight="false" outlineLevel="0" collapsed="false">
      <c r="A59" s="4" t="s">
        <v>85</v>
      </c>
      <c r="B59" s="4" t="n">
        <v>2</v>
      </c>
      <c r="C59" s="4" t="n">
        <f aca="false">IF(B59&lt;=7,1,2)</f>
        <v>1</v>
      </c>
      <c r="D59" s="15"/>
      <c r="E59" s="15"/>
      <c r="F59" s="15"/>
      <c r="G59" s="15"/>
      <c r="H59" s="15"/>
      <c r="I59" s="15"/>
      <c r="J59" s="15"/>
      <c r="K59" s="16"/>
      <c r="L59" s="16"/>
      <c r="M59" s="15"/>
      <c r="N59" s="14" t="str">
        <f aca="false">IF(OR(E59="",F59="",G59=""),"",10*(E59-1)+10*(G59-1)+10*(2-MIN(F59,2)))</f>
        <v/>
      </c>
      <c r="O59" s="14" t="n">
        <f aca="false">IF(AND(N59&lt;&gt;"",I59&lt;&gt;""),1,0)</f>
        <v>0</v>
      </c>
      <c r="P59" s="14" t="str">
        <f aca="false">IF(N59="","",IF(N59&lt;Ngưỡng!$B$4,1,0))</f>
        <v/>
      </c>
      <c r="Q59" s="14" t="str">
        <f aca="false">IF(I59="","",IF(I59&gt;=Ngưỡng!$B$5,1,0))</f>
        <v/>
      </c>
      <c r="R59" s="14" t="str">
        <f aca="false">IF(H59="","",IF(H59&lt;&gt;"Yên",1,0))</f>
        <v/>
      </c>
      <c r="S59" s="14" t="str">
        <f aca="false">IF(K59="","",IF(K59&gt;Ngưỡng!$B$6,1,0))</f>
        <v/>
      </c>
      <c r="T59" s="14" t="str">
        <f aca="false">IF(N59="","",IF(N59&gt;=Ngưỡng!$B$3,1,0))</f>
        <v/>
      </c>
      <c r="U59" s="14" t="n">
        <f aca="false">IF(I59=5,U58+1,0)</f>
        <v>0</v>
      </c>
      <c r="V59" s="14" t="n">
        <f aca="false">IF(AND(F59&lt;&gt;"",F59&gt;=2),V58+1,0)</f>
        <v>0</v>
      </c>
      <c r="W59" s="14" t="n">
        <f aca="false">IF(O59=0,W58+1,0)</f>
        <v>2</v>
      </c>
      <c r="X59" s="14" t="str">
        <f aca="false">IF(OR(E59="",F59=""),"",ROUND((10*(E59-1)+10*(2-MIN(F59,2)))/60*100,0))</f>
        <v/>
      </c>
    </row>
    <row r="60" customFormat="false" ht="15" hidden="false" customHeight="false" outlineLevel="0" collapsed="false">
      <c r="A60" s="4" t="s">
        <v>85</v>
      </c>
      <c r="B60" s="4" t="n">
        <v>3</v>
      </c>
      <c r="C60" s="4" t="n">
        <f aca="false">IF(B60&lt;=7,1,2)</f>
        <v>1</v>
      </c>
      <c r="D60" s="15"/>
      <c r="E60" s="15"/>
      <c r="F60" s="15"/>
      <c r="G60" s="15"/>
      <c r="H60" s="15"/>
      <c r="I60" s="15"/>
      <c r="J60" s="15"/>
      <c r="K60" s="16"/>
      <c r="L60" s="16"/>
      <c r="M60" s="15"/>
      <c r="N60" s="14" t="str">
        <f aca="false">IF(OR(E60="",F60="",G60=""),"",10*(E60-1)+10*(G60-1)+10*(2-MIN(F60,2)))</f>
        <v/>
      </c>
      <c r="O60" s="14" t="n">
        <f aca="false">IF(AND(N60&lt;&gt;"",I60&lt;&gt;""),1,0)</f>
        <v>0</v>
      </c>
      <c r="P60" s="14" t="str">
        <f aca="false">IF(N60="","",IF(N60&lt;Ngưỡng!$B$4,1,0))</f>
        <v/>
      </c>
      <c r="Q60" s="14" t="str">
        <f aca="false">IF(I60="","",IF(I60&gt;=Ngưỡng!$B$5,1,0))</f>
        <v/>
      </c>
      <c r="R60" s="14" t="str">
        <f aca="false">IF(H60="","",IF(H60&lt;&gt;"Yên",1,0))</f>
        <v/>
      </c>
      <c r="S60" s="14" t="str">
        <f aca="false">IF(K60="","",IF(K60&gt;Ngưỡng!$B$6,1,0))</f>
        <v/>
      </c>
      <c r="T60" s="14" t="str">
        <f aca="false">IF(N60="","",IF(N60&gt;=Ngưỡng!$B$3,1,0))</f>
        <v/>
      </c>
      <c r="U60" s="14" t="n">
        <f aca="false">IF(I60=5,U59+1,0)</f>
        <v>0</v>
      </c>
      <c r="V60" s="14" t="n">
        <f aca="false">IF(AND(F60&lt;&gt;"",F60&gt;=2),V59+1,0)</f>
        <v>0</v>
      </c>
      <c r="W60" s="14" t="n">
        <f aca="false">IF(O60=0,W59+1,0)</f>
        <v>3</v>
      </c>
      <c r="X60" s="14" t="str">
        <f aca="false">IF(OR(E60="",F60=""),"",ROUND((10*(E60-1)+10*(2-MIN(F60,2)))/60*100,0))</f>
        <v/>
      </c>
    </row>
    <row r="61" customFormat="false" ht="15" hidden="false" customHeight="false" outlineLevel="0" collapsed="false">
      <c r="A61" s="4" t="s">
        <v>85</v>
      </c>
      <c r="B61" s="4" t="n">
        <v>4</v>
      </c>
      <c r="C61" s="4" t="n">
        <f aca="false">IF(B61&lt;=7,1,2)</f>
        <v>1</v>
      </c>
      <c r="D61" s="15"/>
      <c r="E61" s="15"/>
      <c r="F61" s="15"/>
      <c r="G61" s="15"/>
      <c r="H61" s="15"/>
      <c r="I61" s="15"/>
      <c r="J61" s="15"/>
      <c r="K61" s="16"/>
      <c r="L61" s="16"/>
      <c r="M61" s="15"/>
      <c r="N61" s="14" t="str">
        <f aca="false">IF(OR(E61="",F61="",G61=""),"",10*(E61-1)+10*(G61-1)+10*(2-MIN(F61,2)))</f>
        <v/>
      </c>
      <c r="O61" s="14" t="n">
        <f aca="false">IF(AND(N61&lt;&gt;"",I61&lt;&gt;""),1,0)</f>
        <v>0</v>
      </c>
      <c r="P61" s="14" t="str">
        <f aca="false">IF(N61="","",IF(N61&lt;Ngưỡng!$B$4,1,0))</f>
        <v/>
      </c>
      <c r="Q61" s="14" t="str">
        <f aca="false">IF(I61="","",IF(I61&gt;=Ngưỡng!$B$5,1,0))</f>
        <v/>
      </c>
      <c r="R61" s="14" t="str">
        <f aca="false">IF(H61="","",IF(H61&lt;&gt;"Yên",1,0))</f>
        <v/>
      </c>
      <c r="S61" s="14" t="str">
        <f aca="false">IF(K61="","",IF(K61&gt;Ngưỡng!$B$6,1,0))</f>
        <v/>
      </c>
      <c r="T61" s="14" t="str">
        <f aca="false">IF(N61="","",IF(N61&gt;=Ngưỡng!$B$3,1,0))</f>
        <v/>
      </c>
      <c r="U61" s="14" t="n">
        <f aca="false">IF(I61=5,U60+1,0)</f>
        <v>0</v>
      </c>
      <c r="V61" s="14" t="n">
        <f aca="false">IF(AND(F61&lt;&gt;"",F61&gt;=2),V60+1,0)</f>
        <v>0</v>
      </c>
      <c r="W61" s="14" t="n">
        <f aca="false">IF(O61=0,W60+1,0)</f>
        <v>4</v>
      </c>
      <c r="X61" s="14" t="str">
        <f aca="false">IF(OR(E61="",F61=""),"",ROUND((10*(E61-1)+10*(2-MIN(F61,2)))/60*100,0))</f>
        <v/>
      </c>
    </row>
    <row r="62" customFormat="false" ht="15" hidden="false" customHeight="false" outlineLevel="0" collapsed="false">
      <c r="A62" s="4" t="s">
        <v>85</v>
      </c>
      <c r="B62" s="4" t="n">
        <v>5</v>
      </c>
      <c r="C62" s="4" t="n">
        <f aca="false">IF(B62&lt;=7,1,2)</f>
        <v>1</v>
      </c>
      <c r="D62" s="15"/>
      <c r="E62" s="15"/>
      <c r="F62" s="15"/>
      <c r="G62" s="15"/>
      <c r="H62" s="15"/>
      <c r="I62" s="15"/>
      <c r="J62" s="15"/>
      <c r="K62" s="16"/>
      <c r="L62" s="16"/>
      <c r="M62" s="15"/>
      <c r="N62" s="14" t="str">
        <f aca="false">IF(OR(E62="",F62="",G62=""),"",10*(E62-1)+10*(G62-1)+10*(2-MIN(F62,2)))</f>
        <v/>
      </c>
      <c r="O62" s="14" t="n">
        <f aca="false">IF(AND(N62&lt;&gt;"",I62&lt;&gt;""),1,0)</f>
        <v>0</v>
      </c>
      <c r="P62" s="14" t="str">
        <f aca="false">IF(N62="","",IF(N62&lt;Ngưỡng!$B$4,1,0))</f>
        <v/>
      </c>
      <c r="Q62" s="14" t="str">
        <f aca="false">IF(I62="","",IF(I62&gt;=Ngưỡng!$B$5,1,0))</f>
        <v/>
      </c>
      <c r="R62" s="14" t="str">
        <f aca="false">IF(H62="","",IF(H62&lt;&gt;"Yên",1,0))</f>
        <v/>
      </c>
      <c r="S62" s="14" t="str">
        <f aca="false">IF(K62="","",IF(K62&gt;Ngưỡng!$B$6,1,0))</f>
        <v/>
      </c>
      <c r="T62" s="14" t="str">
        <f aca="false">IF(N62="","",IF(N62&gt;=Ngưỡng!$B$3,1,0))</f>
        <v/>
      </c>
      <c r="U62" s="14" t="n">
        <f aca="false">IF(I62=5,U61+1,0)</f>
        <v>0</v>
      </c>
      <c r="V62" s="14" t="n">
        <f aca="false">IF(AND(F62&lt;&gt;"",F62&gt;=2),V61+1,0)</f>
        <v>0</v>
      </c>
      <c r="W62" s="14" t="n">
        <f aca="false">IF(O62=0,W61+1,0)</f>
        <v>5</v>
      </c>
      <c r="X62" s="14" t="str">
        <f aca="false">IF(OR(E62="",F62=""),"",ROUND((10*(E62-1)+10*(2-MIN(F62,2)))/60*100,0))</f>
        <v/>
      </c>
    </row>
    <row r="63" customFormat="false" ht="15" hidden="false" customHeight="false" outlineLevel="0" collapsed="false">
      <c r="A63" s="4" t="s">
        <v>85</v>
      </c>
      <c r="B63" s="4" t="n">
        <v>6</v>
      </c>
      <c r="C63" s="4" t="n">
        <f aca="false">IF(B63&lt;=7,1,2)</f>
        <v>1</v>
      </c>
      <c r="D63" s="15"/>
      <c r="E63" s="15"/>
      <c r="F63" s="15"/>
      <c r="G63" s="15"/>
      <c r="H63" s="15"/>
      <c r="I63" s="15"/>
      <c r="J63" s="15"/>
      <c r="K63" s="16"/>
      <c r="L63" s="16"/>
      <c r="M63" s="15"/>
      <c r="N63" s="14" t="str">
        <f aca="false">IF(OR(E63="",F63="",G63=""),"",10*(E63-1)+10*(G63-1)+10*(2-MIN(F63,2)))</f>
        <v/>
      </c>
      <c r="O63" s="14" t="n">
        <f aca="false">IF(AND(N63&lt;&gt;"",I63&lt;&gt;""),1,0)</f>
        <v>0</v>
      </c>
      <c r="P63" s="14" t="str">
        <f aca="false">IF(N63="","",IF(N63&lt;Ngưỡng!$B$4,1,0))</f>
        <v/>
      </c>
      <c r="Q63" s="14" t="str">
        <f aca="false">IF(I63="","",IF(I63&gt;=Ngưỡng!$B$5,1,0))</f>
        <v/>
      </c>
      <c r="R63" s="14" t="str">
        <f aca="false">IF(H63="","",IF(H63&lt;&gt;"Yên",1,0))</f>
        <v/>
      </c>
      <c r="S63" s="14" t="str">
        <f aca="false">IF(K63="","",IF(K63&gt;Ngưỡng!$B$6,1,0))</f>
        <v/>
      </c>
      <c r="T63" s="14" t="str">
        <f aca="false">IF(N63="","",IF(N63&gt;=Ngưỡng!$B$3,1,0))</f>
        <v/>
      </c>
      <c r="U63" s="14" t="n">
        <f aca="false">IF(I63=5,U62+1,0)</f>
        <v>0</v>
      </c>
      <c r="V63" s="14" t="n">
        <f aca="false">IF(AND(F63&lt;&gt;"",F63&gt;=2),V62+1,0)</f>
        <v>0</v>
      </c>
      <c r="W63" s="14" t="n">
        <f aca="false">IF(O63=0,W62+1,0)</f>
        <v>6</v>
      </c>
      <c r="X63" s="14" t="str">
        <f aca="false">IF(OR(E63="",F63=""),"",ROUND((10*(E63-1)+10*(2-MIN(F63,2)))/60*100,0))</f>
        <v/>
      </c>
    </row>
    <row r="64" customFormat="false" ht="15" hidden="false" customHeight="false" outlineLevel="0" collapsed="false">
      <c r="A64" s="4" t="s">
        <v>85</v>
      </c>
      <c r="B64" s="4" t="n">
        <v>7</v>
      </c>
      <c r="C64" s="4" t="n">
        <f aca="false">IF(B64&lt;=7,1,2)</f>
        <v>1</v>
      </c>
      <c r="D64" s="15"/>
      <c r="E64" s="15"/>
      <c r="F64" s="15"/>
      <c r="G64" s="15"/>
      <c r="H64" s="15"/>
      <c r="I64" s="15"/>
      <c r="J64" s="15"/>
      <c r="K64" s="16"/>
      <c r="L64" s="16"/>
      <c r="M64" s="15"/>
      <c r="N64" s="14" t="str">
        <f aca="false">IF(OR(E64="",F64="",G64=""),"",10*(E64-1)+10*(G64-1)+10*(2-MIN(F64,2)))</f>
        <v/>
      </c>
      <c r="O64" s="14" t="n">
        <f aca="false">IF(AND(N64&lt;&gt;"",I64&lt;&gt;""),1,0)</f>
        <v>0</v>
      </c>
      <c r="P64" s="14" t="str">
        <f aca="false">IF(N64="","",IF(N64&lt;Ngưỡng!$B$4,1,0))</f>
        <v/>
      </c>
      <c r="Q64" s="14" t="str">
        <f aca="false">IF(I64="","",IF(I64&gt;=Ngưỡng!$B$5,1,0))</f>
        <v/>
      </c>
      <c r="R64" s="14" t="str">
        <f aca="false">IF(H64="","",IF(H64&lt;&gt;"Yên",1,0))</f>
        <v/>
      </c>
      <c r="S64" s="14" t="str">
        <f aca="false">IF(K64="","",IF(K64&gt;Ngưỡng!$B$6,1,0))</f>
        <v/>
      </c>
      <c r="T64" s="14" t="str">
        <f aca="false">IF(N64="","",IF(N64&gt;=Ngưỡng!$B$3,1,0))</f>
        <v/>
      </c>
      <c r="U64" s="14" t="n">
        <f aca="false">IF(I64=5,U63+1,0)</f>
        <v>0</v>
      </c>
      <c r="V64" s="14" t="n">
        <f aca="false">IF(AND(F64&lt;&gt;"",F64&gt;=2),V63+1,0)</f>
        <v>0</v>
      </c>
      <c r="W64" s="14" t="n">
        <f aca="false">IF(O64=0,W63+1,0)</f>
        <v>7</v>
      </c>
      <c r="X64" s="14" t="str">
        <f aca="false">IF(OR(E64="",F64=""),"",ROUND((10*(E64-1)+10*(2-MIN(F64,2)))/60*100,0))</f>
        <v/>
      </c>
    </row>
    <row r="65" customFormat="false" ht="15" hidden="false" customHeight="false" outlineLevel="0" collapsed="false">
      <c r="A65" s="4" t="s">
        <v>85</v>
      </c>
      <c r="B65" s="4" t="n">
        <v>8</v>
      </c>
      <c r="C65" s="4" t="n">
        <f aca="false">IF(B65&lt;=7,1,2)</f>
        <v>2</v>
      </c>
      <c r="D65" s="15"/>
      <c r="E65" s="15"/>
      <c r="F65" s="15"/>
      <c r="G65" s="15"/>
      <c r="H65" s="15"/>
      <c r="I65" s="15"/>
      <c r="J65" s="15"/>
      <c r="K65" s="16"/>
      <c r="L65" s="16"/>
      <c r="M65" s="15"/>
      <c r="N65" s="14" t="str">
        <f aca="false">IF(OR(E65="",F65="",G65=""),"",10*(E65-1)+10*(G65-1)+10*(2-MIN(F65,2)))</f>
        <v/>
      </c>
      <c r="O65" s="14" t="n">
        <f aca="false">IF(AND(N65&lt;&gt;"",I65&lt;&gt;""),1,0)</f>
        <v>0</v>
      </c>
      <c r="P65" s="14" t="str">
        <f aca="false">IF(N65="","",IF(N65&lt;Ngưỡng!$B$4,1,0))</f>
        <v/>
      </c>
      <c r="Q65" s="14" t="str">
        <f aca="false">IF(I65="","",IF(I65&gt;=Ngưỡng!$B$5,1,0))</f>
        <v/>
      </c>
      <c r="R65" s="14" t="str">
        <f aca="false">IF(H65="","",IF(H65&lt;&gt;"Yên",1,0))</f>
        <v/>
      </c>
      <c r="S65" s="14" t="str">
        <f aca="false">IF(K65="","",IF(K65&gt;Ngưỡng!$B$6,1,0))</f>
        <v/>
      </c>
      <c r="T65" s="14" t="str">
        <f aca="false">IF(N65="","",IF(N65&gt;=Ngưỡng!$B$3,1,0))</f>
        <v/>
      </c>
      <c r="U65" s="14" t="n">
        <f aca="false">IF(I65=5,U64+1,0)</f>
        <v>0</v>
      </c>
      <c r="V65" s="14" t="n">
        <f aca="false">IF(AND(F65&lt;&gt;"",F65&gt;=2),V64+1,0)</f>
        <v>0</v>
      </c>
      <c r="W65" s="14" t="n">
        <f aca="false">IF(O65=0,W64+1,0)</f>
        <v>8</v>
      </c>
      <c r="X65" s="14" t="str">
        <f aca="false">IF(OR(E65="",F65=""),"",ROUND((10*(E65-1)+10*(2-MIN(F65,2)))/60*100,0))</f>
        <v/>
      </c>
    </row>
    <row r="66" customFormat="false" ht="15" hidden="false" customHeight="false" outlineLevel="0" collapsed="false">
      <c r="A66" s="4" t="s">
        <v>85</v>
      </c>
      <c r="B66" s="4" t="n">
        <v>9</v>
      </c>
      <c r="C66" s="4" t="n">
        <f aca="false">IF(B66&lt;=7,1,2)</f>
        <v>2</v>
      </c>
      <c r="D66" s="15"/>
      <c r="E66" s="15"/>
      <c r="F66" s="15"/>
      <c r="G66" s="15"/>
      <c r="H66" s="15"/>
      <c r="I66" s="15"/>
      <c r="J66" s="15"/>
      <c r="K66" s="16"/>
      <c r="L66" s="16"/>
      <c r="M66" s="15"/>
      <c r="N66" s="14" t="str">
        <f aca="false">IF(OR(E66="",F66="",G66=""),"",10*(E66-1)+10*(G66-1)+10*(2-MIN(F66,2)))</f>
        <v/>
      </c>
      <c r="O66" s="14" t="n">
        <f aca="false">IF(AND(N66&lt;&gt;"",I66&lt;&gt;""),1,0)</f>
        <v>0</v>
      </c>
      <c r="P66" s="14" t="str">
        <f aca="false">IF(N66="","",IF(N66&lt;Ngưỡng!$B$4,1,0))</f>
        <v/>
      </c>
      <c r="Q66" s="14" t="str">
        <f aca="false">IF(I66="","",IF(I66&gt;=Ngưỡng!$B$5,1,0))</f>
        <v/>
      </c>
      <c r="R66" s="14" t="str">
        <f aca="false">IF(H66="","",IF(H66&lt;&gt;"Yên",1,0))</f>
        <v/>
      </c>
      <c r="S66" s="14" t="str">
        <f aca="false">IF(K66="","",IF(K66&gt;Ngưỡng!$B$6,1,0))</f>
        <v/>
      </c>
      <c r="T66" s="14" t="str">
        <f aca="false">IF(N66="","",IF(N66&gt;=Ngưỡng!$B$3,1,0))</f>
        <v/>
      </c>
      <c r="U66" s="14" t="n">
        <f aca="false">IF(I66=5,U65+1,0)</f>
        <v>0</v>
      </c>
      <c r="V66" s="14" t="n">
        <f aca="false">IF(AND(F66&lt;&gt;"",F66&gt;=2),V65+1,0)</f>
        <v>0</v>
      </c>
      <c r="W66" s="14" t="n">
        <f aca="false">IF(O66=0,W65+1,0)</f>
        <v>9</v>
      </c>
      <c r="X66" s="14" t="str">
        <f aca="false">IF(OR(E66="",F66=""),"",ROUND((10*(E66-1)+10*(2-MIN(F66,2)))/60*100,0))</f>
        <v/>
      </c>
    </row>
    <row r="67" customFormat="false" ht="15" hidden="false" customHeight="false" outlineLevel="0" collapsed="false">
      <c r="A67" s="4" t="s">
        <v>85</v>
      </c>
      <c r="B67" s="4" t="n">
        <v>10</v>
      </c>
      <c r="C67" s="4" t="n">
        <f aca="false">IF(B67&lt;=7,1,2)</f>
        <v>2</v>
      </c>
      <c r="D67" s="15"/>
      <c r="E67" s="15"/>
      <c r="F67" s="15"/>
      <c r="G67" s="15"/>
      <c r="H67" s="15"/>
      <c r="I67" s="15"/>
      <c r="J67" s="15"/>
      <c r="K67" s="16"/>
      <c r="L67" s="16"/>
      <c r="M67" s="15"/>
      <c r="N67" s="14" t="str">
        <f aca="false">IF(OR(E67="",F67="",G67=""),"",10*(E67-1)+10*(G67-1)+10*(2-MIN(F67,2)))</f>
        <v/>
      </c>
      <c r="O67" s="14" t="n">
        <f aca="false">IF(AND(N67&lt;&gt;"",I67&lt;&gt;""),1,0)</f>
        <v>0</v>
      </c>
      <c r="P67" s="14" t="str">
        <f aca="false">IF(N67="","",IF(N67&lt;Ngưỡng!$B$4,1,0))</f>
        <v/>
      </c>
      <c r="Q67" s="14" t="str">
        <f aca="false">IF(I67="","",IF(I67&gt;=Ngưỡng!$B$5,1,0))</f>
        <v/>
      </c>
      <c r="R67" s="14" t="str">
        <f aca="false">IF(H67="","",IF(H67&lt;&gt;"Yên",1,0))</f>
        <v/>
      </c>
      <c r="S67" s="14" t="str">
        <f aca="false">IF(K67="","",IF(K67&gt;Ngưỡng!$B$6,1,0))</f>
        <v/>
      </c>
      <c r="T67" s="14" t="str">
        <f aca="false">IF(N67="","",IF(N67&gt;=Ngưỡng!$B$3,1,0))</f>
        <v/>
      </c>
      <c r="U67" s="14" t="n">
        <f aca="false">IF(I67=5,U66+1,0)</f>
        <v>0</v>
      </c>
      <c r="V67" s="14" t="n">
        <f aca="false">IF(AND(F67&lt;&gt;"",F67&gt;=2),V66+1,0)</f>
        <v>0</v>
      </c>
      <c r="W67" s="14" t="n">
        <f aca="false">IF(O67=0,W66+1,0)</f>
        <v>10</v>
      </c>
      <c r="X67" s="14" t="str">
        <f aca="false">IF(OR(E67="",F67=""),"",ROUND((10*(E67-1)+10*(2-MIN(F67,2)))/60*100,0))</f>
        <v/>
      </c>
    </row>
    <row r="68" customFormat="false" ht="15" hidden="false" customHeight="false" outlineLevel="0" collapsed="false">
      <c r="A68" s="4" t="s">
        <v>85</v>
      </c>
      <c r="B68" s="4" t="n">
        <v>11</v>
      </c>
      <c r="C68" s="4" t="n">
        <f aca="false">IF(B68&lt;=7,1,2)</f>
        <v>2</v>
      </c>
      <c r="D68" s="15"/>
      <c r="E68" s="15"/>
      <c r="F68" s="15"/>
      <c r="G68" s="15"/>
      <c r="H68" s="15"/>
      <c r="I68" s="15"/>
      <c r="J68" s="15"/>
      <c r="K68" s="16"/>
      <c r="L68" s="16"/>
      <c r="M68" s="15"/>
      <c r="N68" s="14" t="str">
        <f aca="false">IF(OR(E68="",F68="",G68=""),"",10*(E68-1)+10*(G68-1)+10*(2-MIN(F68,2)))</f>
        <v/>
      </c>
      <c r="O68" s="14" t="n">
        <f aca="false">IF(AND(N68&lt;&gt;"",I68&lt;&gt;""),1,0)</f>
        <v>0</v>
      </c>
      <c r="P68" s="14" t="str">
        <f aca="false">IF(N68="","",IF(N68&lt;Ngưỡng!$B$4,1,0))</f>
        <v/>
      </c>
      <c r="Q68" s="14" t="str">
        <f aca="false">IF(I68="","",IF(I68&gt;=Ngưỡng!$B$5,1,0))</f>
        <v/>
      </c>
      <c r="R68" s="14" t="str">
        <f aca="false">IF(H68="","",IF(H68&lt;&gt;"Yên",1,0))</f>
        <v/>
      </c>
      <c r="S68" s="14" t="str">
        <f aca="false">IF(K68="","",IF(K68&gt;Ngưỡng!$B$6,1,0))</f>
        <v/>
      </c>
      <c r="T68" s="14" t="str">
        <f aca="false">IF(N68="","",IF(N68&gt;=Ngưỡng!$B$3,1,0))</f>
        <v/>
      </c>
      <c r="U68" s="14" t="n">
        <f aca="false">IF(I68=5,U67+1,0)</f>
        <v>0</v>
      </c>
      <c r="V68" s="14" t="n">
        <f aca="false">IF(AND(F68&lt;&gt;"",F68&gt;=2),V67+1,0)</f>
        <v>0</v>
      </c>
      <c r="W68" s="14" t="n">
        <f aca="false">IF(O68=0,W67+1,0)</f>
        <v>11</v>
      </c>
      <c r="X68" s="14" t="str">
        <f aca="false">IF(OR(E68="",F68=""),"",ROUND((10*(E68-1)+10*(2-MIN(F68,2)))/60*100,0))</f>
        <v/>
      </c>
    </row>
    <row r="69" customFormat="false" ht="15" hidden="false" customHeight="false" outlineLevel="0" collapsed="false">
      <c r="A69" s="4" t="s">
        <v>85</v>
      </c>
      <c r="B69" s="4" t="n">
        <v>12</v>
      </c>
      <c r="C69" s="4" t="n">
        <f aca="false">IF(B69&lt;=7,1,2)</f>
        <v>2</v>
      </c>
      <c r="D69" s="15"/>
      <c r="E69" s="15"/>
      <c r="F69" s="15"/>
      <c r="G69" s="15"/>
      <c r="H69" s="15"/>
      <c r="I69" s="15"/>
      <c r="J69" s="15"/>
      <c r="K69" s="16"/>
      <c r="L69" s="16"/>
      <c r="M69" s="15"/>
      <c r="N69" s="14" t="str">
        <f aca="false">IF(OR(E69="",F69="",G69=""),"",10*(E69-1)+10*(G69-1)+10*(2-MIN(F69,2)))</f>
        <v/>
      </c>
      <c r="O69" s="14" t="n">
        <f aca="false">IF(AND(N69&lt;&gt;"",I69&lt;&gt;""),1,0)</f>
        <v>0</v>
      </c>
      <c r="P69" s="14" t="str">
        <f aca="false">IF(N69="","",IF(N69&lt;Ngưỡng!$B$4,1,0))</f>
        <v/>
      </c>
      <c r="Q69" s="14" t="str">
        <f aca="false">IF(I69="","",IF(I69&gt;=Ngưỡng!$B$5,1,0))</f>
        <v/>
      </c>
      <c r="R69" s="14" t="str">
        <f aca="false">IF(H69="","",IF(H69&lt;&gt;"Yên",1,0))</f>
        <v/>
      </c>
      <c r="S69" s="14" t="str">
        <f aca="false">IF(K69="","",IF(K69&gt;Ngưỡng!$B$6,1,0))</f>
        <v/>
      </c>
      <c r="T69" s="14" t="str">
        <f aca="false">IF(N69="","",IF(N69&gt;=Ngưỡng!$B$3,1,0))</f>
        <v/>
      </c>
      <c r="U69" s="14" t="n">
        <f aca="false">IF(I69=5,U68+1,0)</f>
        <v>0</v>
      </c>
      <c r="V69" s="14" t="n">
        <f aca="false">IF(AND(F69&lt;&gt;"",F69&gt;=2),V68+1,0)</f>
        <v>0</v>
      </c>
      <c r="W69" s="14" t="n">
        <f aca="false">IF(O69=0,W68+1,0)</f>
        <v>12</v>
      </c>
      <c r="X69" s="14" t="str">
        <f aca="false">IF(OR(E69="",F69=""),"",ROUND((10*(E69-1)+10*(2-MIN(F69,2)))/60*100,0))</f>
        <v/>
      </c>
    </row>
    <row r="70" customFormat="false" ht="15" hidden="false" customHeight="false" outlineLevel="0" collapsed="false">
      <c r="A70" s="4" t="s">
        <v>85</v>
      </c>
      <c r="B70" s="4" t="n">
        <v>13</v>
      </c>
      <c r="C70" s="4" t="n">
        <f aca="false">IF(B70&lt;=7,1,2)</f>
        <v>2</v>
      </c>
      <c r="D70" s="15"/>
      <c r="E70" s="15"/>
      <c r="F70" s="15"/>
      <c r="G70" s="15"/>
      <c r="H70" s="15"/>
      <c r="I70" s="15"/>
      <c r="J70" s="15"/>
      <c r="K70" s="16"/>
      <c r="L70" s="16"/>
      <c r="M70" s="15"/>
      <c r="N70" s="14" t="str">
        <f aca="false">IF(OR(E70="",F70="",G70=""),"",10*(E70-1)+10*(G70-1)+10*(2-MIN(F70,2)))</f>
        <v/>
      </c>
      <c r="O70" s="14" t="n">
        <f aca="false">IF(AND(N70&lt;&gt;"",I70&lt;&gt;""),1,0)</f>
        <v>0</v>
      </c>
      <c r="P70" s="14" t="str">
        <f aca="false">IF(N70="","",IF(N70&lt;Ngưỡng!$B$4,1,0))</f>
        <v/>
      </c>
      <c r="Q70" s="14" t="str">
        <f aca="false">IF(I70="","",IF(I70&gt;=Ngưỡng!$B$5,1,0))</f>
        <v/>
      </c>
      <c r="R70" s="14" t="str">
        <f aca="false">IF(H70="","",IF(H70&lt;&gt;"Yên",1,0))</f>
        <v/>
      </c>
      <c r="S70" s="14" t="str">
        <f aca="false">IF(K70="","",IF(K70&gt;Ngưỡng!$B$6,1,0))</f>
        <v/>
      </c>
      <c r="T70" s="14" t="str">
        <f aca="false">IF(N70="","",IF(N70&gt;=Ngưỡng!$B$3,1,0))</f>
        <v/>
      </c>
      <c r="U70" s="14" t="n">
        <f aca="false">IF(I70=5,U69+1,0)</f>
        <v>0</v>
      </c>
      <c r="V70" s="14" t="n">
        <f aca="false">IF(AND(F70&lt;&gt;"",F70&gt;=2),V69+1,0)</f>
        <v>0</v>
      </c>
      <c r="W70" s="14" t="n">
        <f aca="false">IF(O70=0,W69+1,0)</f>
        <v>13</v>
      </c>
      <c r="X70" s="14" t="str">
        <f aca="false">IF(OR(E70="",F70=""),"",ROUND((10*(E70-1)+10*(2-MIN(F70,2)))/60*100,0))</f>
        <v/>
      </c>
    </row>
    <row r="71" customFormat="false" ht="15" hidden="false" customHeight="false" outlineLevel="0" collapsed="false">
      <c r="A71" s="4" t="s">
        <v>85</v>
      </c>
      <c r="B71" s="4" t="n">
        <v>14</v>
      </c>
      <c r="C71" s="4" t="n">
        <f aca="false">IF(B71&lt;=7,1,2)</f>
        <v>2</v>
      </c>
      <c r="D71" s="15"/>
      <c r="E71" s="15"/>
      <c r="F71" s="15"/>
      <c r="G71" s="15"/>
      <c r="H71" s="15"/>
      <c r="I71" s="15"/>
      <c r="J71" s="15"/>
      <c r="K71" s="16"/>
      <c r="L71" s="16"/>
      <c r="M71" s="15"/>
      <c r="N71" s="14" t="str">
        <f aca="false">IF(OR(E71="",F71="",G71=""),"",10*(E71-1)+10*(G71-1)+10*(2-MIN(F71,2)))</f>
        <v/>
      </c>
      <c r="O71" s="14" t="n">
        <f aca="false">IF(AND(N71&lt;&gt;"",I71&lt;&gt;""),1,0)</f>
        <v>0</v>
      </c>
      <c r="P71" s="14" t="str">
        <f aca="false">IF(N71="","",IF(N71&lt;Ngưỡng!$B$4,1,0))</f>
        <v/>
      </c>
      <c r="Q71" s="14" t="str">
        <f aca="false">IF(I71="","",IF(I71&gt;=Ngưỡng!$B$5,1,0))</f>
        <v/>
      </c>
      <c r="R71" s="14" t="str">
        <f aca="false">IF(H71="","",IF(H71&lt;&gt;"Yên",1,0))</f>
        <v/>
      </c>
      <c r="S71" s="14" t="str">
        <f aca="false">IF(K71="","",IF(K71&gt;Ngưỡng!$B$6,1,0))</f>
        <v/>
      </c>
      <c r="T71" s="14" t="str">
        <f aca="false">IF(N71="","",IF(N71&gt;=Ngưỡng!$B$3,1,0))</f>
        <v/>
      </c>
      <c r="U71" s="14" t="n">
        <f aca="false">IF(I71=5,U70+1,0)</f>
        <v>0</v>
      </c>
      <c r="V71" s="14" t="n">
        <f aca="false">IF(AND(F71&lt;&gt;"",F71&gt;=2),V70+1,0)</f>
        <v>0</v>
      </c>
      <c r="W71" s="14" t="n">
        <f aca="false">IF(O71=0,W70+1,0)</f>
        <v>14</v>
      </c>
      <c r="X71" s="14" t="str">
        <f aca="false">IF(OR(E71="",F71=""),"",ROUND((10*(E71-1)+10*(2-MIN(F71,2)))/60*100,0))</f>
        <v/>
      </c>
    </row>
    <row r="72" customFormat="false" ht="15" hidden="false" customHeight="false" outlineLevel="0" collapsed="false">
      <c r="A72" s="4" t="s">
        <v>86</v>
      </c>
      <c r="B72" s="4" t="n">
        <v>1</v>
      </c>
      <c r="C72" s="4" t="n">
        <f aca="false">IF(B72&lt;=7,1,2)</f>
        <v>1</v>
      </c>
      <c r="D72" s="15"/>
      <c r="E72" s="15"/>
      <c r="F72" s="15"/>
      <c r="G72" s="15"/>
      <c r="H72" s="15"/>
      <c r="I72" s="15"/>
      <c r="J72" s="15"/>
      <c r="K72" s="16"/>
      <c r="L72" s="16"/>
      <c r="M72" s="15"/>
      <c r="N72" s="14" t="str">
        <f aca="false">IF(OR(E72="",F72="",G72=""),"",10*(E72-1)+10*(G72-1)+10*(2-MIN(F72,2)))</f>
        <v/>
      </c>
      <c r="O72" s="14" t="n">
        <f aca="false">IF(AND(N72&lt;&gt;"",I72&lt;&gt;""),1,0)</f>
        <v>0</v>
      </c>
      <c r="P72" s="14" t="str">
        <f aca="false">IF(N72="","",IF(N72&lt;Ngưỡng!$B$4,1,0))</f>
        <v/>
      </c>
      <c r="Q72" s="14" t="str">
        <f aca="false">IF(I72="","",IF(I72&gt;=Ngưỡng!$B$5,1,0))</f>
        <v/>
      </c>
      <c r="R72" s="14" t="str">
        <f aca="false">IF(H72="","",IF(H72&lt;&gt;"Yên",1,0))</f>
        <v/>
      </c>
      <c r="S72" s="14" t="str">
        <f aca="false">IF(K72="","",IF(K72&gt;Ngưỡng!$B$6,1,0))</f>
        <v/>
      </c>
      <c r="T72" s="14" t="str">
        <f aca="false">IF(N72="","",IF(N72&gt;=Ngưỡng!$B$3,1,0))</f>
        <v/>
      </c>
      <c r="U72" s="14" t="n">
        <f aca="false">IF(I72=5,0+1,0)</f>
        <v>0</v>
      </c>
      <c r="V72" s="14" t="n">
        <f aca="false">IF(AND(F72&lt;&gt;"",F72&gt;=2),0+1,0)</f>
        <v>0</v>
      </c>
      <c r="W72" s="14" t="n">
        <f aca="false">IF(O72=0,0+1,0)</f>
        <v>1</v>
      </c>
      <c r="X72" s="14" t="str">
        <f aca="false">IF(OR(E72="",F72=""),"",ROUND((10*(E72-1)+10*(2-MIN(F72,2)))/60*100,0))</f>
        <v/>
      </c>
    </row>
    <row r="73" customFormat="false" ht="15" hidden="false" customHeight="false" outlineLevel="0" collapsed="false">
      <c r="A73" s="4" t="s">
        <v>86</v>
      </c>
      <c r="B73" s="4" t="n">
        <v>2</v>
      </c>
      <c r="C73" s="4" t="n">
        <f aca="false">IF(B73&lt;=7,1,2)</f>
        <v>1</v>
      </c>
      <c r="D73" s="15"/>
      <c r="E73" s="15"/>
      <c r="F73" s="15"/>
      <c r="G73" s="15"/>
      <c r="H73" s="15"/>
      <c r="I73" s="15"/>
      <c r="J73" s="15"/>
      <c r="K73" s="16"/>
      <c r="L73" s="16"/>
      <c r="M73" s="15"/>
      <c r="N73" s="14" t="str">
        <f aca="false">IF(OR(E73="",F73="",G73=""),"",10*(E73-1)+10*(G73-1)+10*(2-MIN(F73,2)))</f>
        <v/>
      </c>
      <c r="O73" s="14" t="n">
        <f aca="false">IF(AND(N73&lt;&gt;"",I73&lt;&gt;""),1,0)</f>
        <v>0</v>
      </c>
      <c r="P73" s="14" t="str">
        <f aca="false">IF(N73="","",IF(N73&lt;Ngưỡng!$B$4,1,0))</f>
        <v/>
      </c>
      <c r="Q73" s="14" t="str">
        <f aca="false">IF(I73="","",IF(I73&gt;=Ngưỡng!$B$5,1,0))</f>
        <v/>
      </c>
      <c r="R73" s="14" t="str">
        <f aca="false">IF(H73="","",IF(H73&lt;&gt;"Yên",1,0))</f>
        <v/>
      </c>
      <c r="S73" s="14" t="str">
        <f aca="false">IF(K73="","",IF(K73&gt;Ngưỡng!$B$6,1,0))</f>
        <v/>
      </c>
      <c r="T73" s="14" t="str">
        <f aca="false">IF(N73="","",IF(N73&gt;=Ngưỡng!$B$3,1,0))</f>
        <v/>
      </c>
      <c r="U73" s="14" t="n">
        <f aca="false">IF(I73=5,U72+1,0)</f>
        <v>0</v>
      </c>
      <c r="V73" s="14" t="n">
        <f aca="false">IF(AND(F73&lt;&gt;"",F73&gt;=2),V72+1,0)</f>
        <v>0</v>
      </c>
      <c r="W73" s="14" t="n">
        <f aca="false">IF(O73=0,W72+1,0)</f>
        <v>2</v>
      </c>
      <c r="X73" s="14" t="str">
        <f aca="false">IF(OR(E73="",F73=""),"",ROUND((10*(E73-1)+10*(2-MIN(F73,2)))/60*100,0))</f>
        <v/>
      </c>
    </row>
    <row r="74" customFormat="false" ht="15" hidden="false" customHeight="false" outlineLevel="0" collapsed="false">
      <c r="A74" s="4" t="s">
        <v>86</v>
      </c>
      <c r="B74" s="4" t="n">
        <v>3</v>
      </c>
      <c r="C74" s="4" t="n">
        <f aca="false">IF(B74&lt;=7,1,2)</f>
        <v>1</v>
      </c>
      <c r="D74" s="15"/>
      <c r="E74" s="15"/>
      <c r="F74" s="15"/>
      <c r="G74" s="15"/>
      <c r="H74" s="15"/>
      <c r="I74" s="15"/>
      <c r="J74" s="15"/>
      <c r="K74" s="16"/>
      <c r="L74" s="16"/>
      <c r="M74" s="15"/>
      <c r="N74" s="14" t="str">
        <f aca="false">IF(OR(E74="",F74="",G74=""),"",10*(E74-1)+10*(G74-1)+10*(2-MIN(F74,2)))</f>
        <v/>
      </c>
      <c r="O74" s="14" t="n">
        <f aca="false">IF(AND(N74&lt;&gt;"",I74&lt;&gt;""),1,0)</f>
        <v>0</v>
      </c>
      <c r="P74" s="14" t="str">
        <f aca="false">IF(N74="","",IF(N74&lt;Ngưỡng!$B$4,1,0))</f>
        <v/>
      </c>
      <c r="Q74" s="14" t="str">
        <f aca="false">IF(I74="","",IF(I74&gt;=Ngưỡng!$B$5,1,0))</f>
        <v/>
      </c>
      <c r="R74" s="14" t="str">
        <f aca="false">IF(H74="","",IF(H74&lt;&gt;"Yên",1,0))</f>
        <v/>
      </c>
      <c r="S74" s="14" t="str">
        <f aca="false">IF(K74="","",IF(K74&gt;Ngưỡng!$B$6,1,0))</f>
        <v/>
      </c>
      <c r="T74" s="14" t="str">
        <f aca="false">IF(N74="","",IF(N74&gt;=Ngưỡng!$B$3,1,0))</f>
        <v/>
      </c>
      <c r="U74" s="14" t="n">
        <f aca="false">IF(I74=5,U73+1,0)</f>
        <v>0</v>
      </c>
      <c r="V74" s="14" t="n">
        <f aca="false">IF(AND(F74&lt;&gt;"",F74&gt;=2),V73+1,0)</f>
        <v>0</v>
      </c>
      <c r="W74" s="14" t="n">
        <f aca="false">IF(O74=0,W73+1,0)</f>
        <v>3</v>
      </c>
      <c r="X74" s="14" t="str">
        <f aca="false">IF(OR(E74="",F74=""),"",ROUND((10*(E74-1)+10*(2-MIN(F74,2)))/60*100,0))</f>
        <v/>
      </c>
    </row>
    <row r="75" customFormat="false" ht="15" hidden="false" customHeight="false" outlineLevel="0" collapsed="false">
      <c r="A75" s="4" t="s">
        <v>86</v>
      </c>
      <c r="B75" s="4" t="n">
        <v>4</v>
      </c>
      <c r="C75" s="4" t="n">
        <f aca="false">IF(B75&lt;=7,1,2)</f>
        <v>1</v>
      </c>
      <c r="D75" s="15"/>
      <c r="E75" s="15"/>
      <c r="F75" s="15"/>
      <c r="G75" s="15"/>
      <c r="H75" s="15"/>
      <c r="I75" s="15"/>
      <c r="J75" s="15"/>
      <c r="K75" s="16"/>
      <c r="L75" s="16"/>
      <c r="M75" s="15"/>
      <c r="N75" s="14" t="str">
        <f aca="false">IF(OR(E75="",F75="",G75=""),"",10*(E75-1)+10*(G75-1)+10*(2-MIN(F75,2)))</f>
        <v/>
      </c>
      <c r="O75" s="14" t="n">
        <f aca="false">IF(AND(N75&lt;&gt;"",I75&lt;&gt;""),1,0)</f>
        <v>0</v>
      </c>
      <c r="P75" s="14" t="str">
        <f aca="false">IF(N75="","",IF(N75&lt;Ngưỡng!$B$4,1,0))</f>
        <v/>
      </c>
      <c r="Q75" s="14" t="str">
        <f aca="false">IF(I75="","",IF(I75&gt;=Ngưỡng!$B$5,1,0))</f>
        <v/>
      </c>
      <c r="R75" s="14" t="str">
        <f aca="false">IF(H75="","",IF(H75&lt;&gt;"Yên",1,0))</f>
        <v/>
      </c>
      <c r="S75" s="14" t="str">
        <f aca="false">IF(K75="","",IF(K75&gt;Ngưỡng!$B$6,1,0))</f>
        <v/>
      </c>
      <c r="T75" s="14" t="str">
        <f aca="false">IF(N75="","",IF(N75&gt;=Ngưỡng!$B$3,1,0))</f>
        <v/>
      </c>
      <c r="U75" s="14" t="n">
        <f aca="false">IF(I75=5,U74+1,0)</f>
        <v>0</v>
      </c>
      <c r="V75" s="14" t="n">
        <f aca="false">IF(AND(F75&lt;&gt;"",F75&gt;=2),V74+1,0)</f>
        <v>0</v>
      </c>
      <c r="W75" s="14" t="n">
        <f aca="false">IF(O75=0,W74+1,0)</f>
        <v>4</v>
      </c>
      <c r="X75" s="14" t="str">
        <f aca="false">IF(OR(E75="",F75=""),"",ROUND((10*(E75-1)+10*(2-MIN(F75,2)))/60*100,0))</f>
        <v/>
      </c>
    </row>
    <row r="76" customFormat="false" ht="15" hidden="false" customHeight="false" outlineLevel="0" collapsed="false">
      <c r="A76" s="4" t="s">
        <v>86</v>
      </c>
      <c r="B76" s="4" t="n">
        <v>5</v>
      </c>
      <c r="C76" s="4" t="n">
        <f aca="false">IF(B76&lt;=7,1,2)</f>
        <v>1</v>
      </c>
      <c r="D76" s="15"/>
      <c r="E76" s="15"/>
      <c r="F76" s="15"/>
      <c r="G76" s="15"/>
      <c r="H76" s="15"/>
      <c r="I76" s="15"/>
      <c r="J76" s="15"/>
      <c r="K76" s="16"/>
      <c r="L76" s="16"/>
      <c r="M76" s="15"/>
      <c r="N76" s="14" t="str">
        <f aca="false">IF(OR(E76="",F76="",G76=""),"",10*(E76-1)+10*(G76-1)+10*(2-MIN(F76,2)))</f>
        <v/>
      </c>
      <c r="O76" s="14" t="n">
        <f aca="false">IF(AND(N76&lt;&gt;"",I76&lt;&gt;""),1,0)</f>
        <v>0</v>
      </c>
      <c r="P76" s="14" t="str">
        <f aca="false">IF(N76="","",IF(N76&lt;Ngưỡng!$B$4,1,0))</f>
        <v/>
      </c>
      <c r="Q76" s="14" t="str">
        <f aca="false">IF(I76="","",IF(I76&gt;=Ngưỡng!$B$5,1,0))</f>
        <v/>
      </c>
      <c r="R76" s="14" t="str">
        <f aca="false">IF(H76="","",IF(H76&lt;&gt;"Yên",1,0))</f>
        <v/>
      </c>
      <c r="S76" s="14" t="str">
        <f aca="false">IF(K76="","",IF(K76&gt;Ngưỡng!$B$6,1,0))</f>
        <v/>
      </c>
      <c r="T76" s="14" t="str">
        <f aca="false">IF(N76="","",IF(N76&gt;=Ngưỡng!$B$3,1,0))</f>
        <v/>
      </c>
      <c r="U76" s="14" t="n">
        <f aca="false">IF(I76=5,U75+1,0)</f>
        <v>0</v>
      </c>
      <c r="V76" s="14" t="n">
        <f aca="false">IF(AND(F76&lt;&gt;"",F76&gt;=2),V75+1,0)</f>
        <v>0</v>
      </c>
      <c r="W76" s="14" t="n">
        <f aca="false">IF(O76=0,W75+1,0)</f>
        <v>5</v>
      </c>
      <c r="X76" s="14" t="str">
        <f aca="false">IF(OR(E76="",F76=""),"",ROUND((10*(E76-1)+10*(2-MIN(F76,2)))/60*100,0))</f>
        <v/>
      </c>
    </row>
    <row r="77" customFormat="false" ht="15" hidden="false" customHeight="false" outlineLevel="0" collapsed="false">
      <c r="A77" s="4" t="s">
        <v>86</v>
      </c>
      <c r="B77" s="4" t="n">
        <v>6</v>
      </c>
      <c r="C77" s="4" t="n">
        <f aca="false">IF(B77&lt;=7,1,2)</f>
        <v>1</v>
      </c>
      <c r="D77" s="15"/>
      <c r="E77" s="15"/>
      <c r="F77" s="15"/>
      <c r="G77" s="15"/>
      <c r="H77" s="15"/>
      <c r="I77" s="15"/>
      <c r="J77" s="15"/>
      <c r="K77" s="16"/>
      <c r="L77" s="16"/>
      <c r="M77" s="15"/>
      <c r="N77" s="14" t="str">
        <f aca="false">IF(OR(E77="",F77="",G77=""),"",10*(E77-1)+10*(G77-1)+10*(2-MIN(F77,2)))</f>
        <v/>
      </c>
      <c r="O77" s="14" t="n">
        <f aca="false">IF(AND(N77&lt;&gt;"",I77&lt;&gt;""),1,0)</f>
        <v>0</v>
      </c>
      <c r="P77" s="14" t="str">
        <f aca="false">IF(N77="","",IF(N77&lt;Ngưỡng!$B$4,1,0))</f>
        <v/>
      </c>
      <c r="Q77" s="14" t="str">
        <f aca="false">IF(I77="","",IF(I77&gt;=Ngưỡng!$B$5,1,0))</f>
        <v/>
      </c>
      <c r="R77" s="14" t="str">
        <f aca="false">IF(H77="","",IF(H77&lt;&gt;"Yên",1,0))</f>
        <v/>
      </c>
      <c r="S77" s="14" t="str">
        <f aca="false">IF(K77="","",IF(K77&gt;Ngưỡng!$B$6,1,0))</f>
        <v/>
      </c>
      <c r="T77" s="14" t="str">
        <f aca="false">IF(N77="","",IF(N77&gt;=Ngưỡng!$B$3,1,0))</f>
        <v/>
      </c>
      <c r="U77" s="14" t="n">
        <f aca="false">IF(I77=5,U76+1,0)</f>
        <v>0</v>
      </c>
      <c r="V77" s="14" t="n">
        <f aca="false">IF(AND(F77&lt;&gt;"",F77&gt;=2),V76+1,0)</f>
        <v>0</v>
      </c>
      <c r="W77" s="14" t="n">
        <f aca="false">IF(O77=0,W76+1,0)</f>
        <v>6</v>
      </c>
      <c r="X77" s="14" t="str">
        <f aca="false">IF(OR(E77="",F77=""),"",ROUND((10*(E77-1)+10*(2-MIN(F77,2)))/60*100,0))</f>
        <v/>
      </c>
    </row>
    <row r="78" customFormat="false" ht="15" hidden="false" customHeight="false" outlineLevel="0" collapsed="false">
      <c r="A78" s="4" t="s">
        <v>86</v>
      </c>
      <c r="B78" s="4" t="n">
        <v>7</v>
      </c>
      <c r="C78" s="4" t="n">
        <f aca="false">IF(B78&lt;=7,1,2)</f>
        <v>1</v>
      </c>
      <c r="D78" s="15"/>
      <c r="E78" s="15"/>
      <c r="F78" s="15"/>
      <c r="G78" s="15"/>
      <c r="H78" s="15"/>
      <c r="I78" s="15"/>
      <c r="J78" s="15"/>
      <c r="K78" s="16"/>
      <c r="L78" s="16"/>
      <c r="M78" s="15"/>
      <c r="N78" s="14" t="str">
        <f aca="false">IF(OR(E78="",F78="",G78=""),"",10*(E78-1)+10*(G78-1)+10*(2-MIN(F78,2)))</f>
        <v/>
      </c>
      <c r="O78" s="14" t="n">
        <f aca="false">IF(AND(N78&lt;&gt;"",I78&lt;&gt;""),1,0)</f>
        <v>0</v>
      </c>
      <c r="P78" s="14" t="str">
        <f aca="false">IF(N78="","",IF(N78&lt;Ngưỡng!$B$4,1,0))</f>
        <v/>
      </c>
      <c r="Q78" s="14" t="str">
        <f aca="false">IF(I78="","",IF(I78&gt;=Ngưỡng!$B$5,1,0))</f>
        <v/>
      </c>
      <c r="R78" s="14" t="str">
        <f aca="false">IF(H78="","",IF(H78&lt;&gt;"Yên",1,0))</f>
        <v/>
      </c>
      <c r="S78" s="14" t="str">
        <f aca="false">IF(K78="","",IF(K78&gt;Ngưỡng!$B$6,1,0))</f>
        <v/>
      </c>
      <c r="T78" s="14" t="str">
        <f aca="false">IF(N78="","",IF(N78&gt;=Ngưỡng!$B$3,1,0))</f>
        <v/>
      </c>
      <c r="U78" s="14" t="n">
        <f aca="false">IF(I78=5,U77+1,0)</f>
        <v>0</v>
      </c>
      <c r="V78" s="14" t="n">
        <f aca="false">IF(AND(F78&lt;&gt;"",F78&gt;=2),V77+1,0)</f>
        <v>0</v>
      </c>
      <c r="W78" s="14" t="n">
        <f aca="false">IF(O78=0,W77+1,0)</f>
        <v>7</v>
      </c>
      <c r="X78" s="14" t="str">
        <f aca="false">IF(OR(E78="",F78=""),"",ROUND((10*(E78-1)+10*(2-MIN(F78,2)))/60*100,0))</f>
        <v/>
      </c>
    </row>
    <row r="79" customFormat="false" ht="15" hidden="false" customHeight="false" outlineLevel="0" collapsed="false">
      <c r="A79" s="4" t="s">
        <v>86</v>
      </c>
      <c r="B79" s="4" t="n">
        <v>8</v>
      </c>
      <c r="C79" s="4" t="n">
        <f aca="false">IF(B79&lt;=7,1,2)</f>
        <v>2</v>
      </c>
      <c r="D79" s="15"/>
      <c r="E79" s="15"/>
      <c r="F79" s="15"/>
      <c r="G79" s="15"/>
      <c r="H79" s="15"/>
      <c r="I79" s="15"/>
      <c r="J79" s="15"/>
      <c r="K79" s="16"/>
      <c r="L79" s="16"/>
      <c r="M79" s="15"/>
      <c r="N79" s="14" t="str">
        <f aca="false">IF(OR(E79="",F79="",G79=""),"",10*(E79-1)+10*(G79-1)+10*(2-MIN(F79,2)))</f>
        <v/>
      </c>
      <c r="O79" s="14" t="n">
        <f aca="false">IF(AND(N79&lt;&gt;"",I79&lt;&gt;""),1,0)</f>
        <v>0</v>
      </c>
      <c r="P79" s="14" t="str">
        <f aca="false">IF(N79="","",IF(N79&lt;Ngưỡng!$B$4,1,0))</f>
        <v/>
      </c>
      <c r="Q79" s="14" t="str">
        <f aca="false">IF(I79="","",IF(I79&gt;=Ngưỡng!$B$5,1,0))</f>
        <v/>
      </c>
      <c r="R79" s="14" t="str">
        <f aca="false">IF(H79="","",IF(H79&lt;&gt;"Yên",1,0))</f>
        <v/>
      </c>
      <c r="S79" s="14" t="str">
        <f aca="false">IF(K79="","",IF(K79&gt;Ngưỡng!$B$6,1,0))</f>
        <v/>
      </c>
      <c r="T79" s="14" t="str">
        <f aca="false">IF(N79="","",IF(N79&gt;=Ngưỡng!$B$3,1,0))</f>
        <v/>
      </c>
      <c r="U79" s="14" t="n">
        <f aca="false">IF(I79=5,U78+1,0)</f>
        <v>0</v>
      </c>
      <c r="V79" s="14" t="n">
        <f aca="false">IF(AND(F79&lt;&gt;"",F79&gt;=2),V78+1,0)</f>
        <v>0</v>
      </c>
      <c r="W79" s="14" t="n">
        <f aca="false">IF(O79=0,W78+1,0)</f>
        <v>8</v>
      </c>
      <c r="X79" s="14" t="str">
        <f aca="false">IF(OR(E79="",F79=""),"",ROUND((10*(E79-1)+10*(2-MIN(F79,2)))/60*100,0))</f>
        <v/>
      </c>
    </row>
    <row r="80" customFormat="false" ht="15" hidden="false" customHeight="false" outlineLevel="0" collapsed="false">
      <c r="A80" s="4" t="s">
        <v>86</v>
      </c>
      <c r="B80" s="4" t="n">
        <v>9</v>
      </c>
      <c r="C80" s="4" t="n">
        <f aca="false">IF(B80&lt;=7,1,2)</f>
        <v>2</v>
      </c>
      <c r="D80" s="15"/>
      <c r="E80" s="15"/>
      <c r="F80" s="15"/>
      <c r="G80" s="15"/>
      <c r="H80" s="15"/>
      <c r="I80" s="15"/>
      <c r="J80" s="15"/>
      <c r="K80" s="16"/>
      <c r="L80" s="16"/>
      <c r="M80" s="15"/>
      <c r="N80" s="14" t="str">
        <f aca="false">IF(OR(E80="",F80="",G80=""),"",10*(E80-1)+10*(G80-1)+10*(2-MIN(F80,2)))</f>
        <v/>
      </c>
      <c r="O80" s="14" t="n">
        <f aca="false">IF(AND(N80&lt;&gt;"",I80&lt;&gt;""),1,0)</f>
        <v>0</v>
      </c>
      <c r="P80" s="14" t="str">
        <f aca="false">IF(N80="","",IF(N80&lt;Ngưỡng!$B$4,1,0))</f>
        <v/>
      </c>
      <c r="Q80" s="14" t="str">
        <f aca="false">IF(I80="","",IF(I80&gt;=Ngưỡng!$B$5,1,0))</f>
        <v/>
      </c>
      <c r="R80" s="14" t="str">
        <f aca="false">IF(H80="","",IF(H80&lt;&gt;"Yên",1,0))</f>
        <v/>
      </c>
      <c r="S80" s="14" t="str">
        <f aca="false">IF(K80="","",IF(K80&gt;Ngưỡng!$B$6,1,0))</f>
        <v/>
      </c>
      <c r="T80" s="14" t="str">
        <f aca="false">IF(N80="","",IF(N80&gt;=Ngưỡng!$B$3,1,0))</f>
        <v/>
      </c>
      <c r="U80" s="14" t="n">
        <f aca="false">IF(I80=5,U79+1,0)</f>
        <v>0</v>
      </c>
      <c r="V80" s="14" t="n">
        <f aca="false">IF(AND(F80&lt;&gt;"",F80&gt;=2),V79+1,0)</f>
        <v>0</v>
      </c>
      <c r="W80" s="14" t="n">
        <f aca="false">IF(O80=0,W79+1,0)</f>
        <v>9</v>
      </c>
      <c r="X80" s="14" t="str">
        <f aca="false">IF(OR(E80="",F80=""),"",ROUND((10*(E80-1)+10*(2-MIN(F80,2)))/60*100,0))</f>
        <v/>
      </c>
    </row>
    <row r="81" customFormat="false" ht="15" hidden="false" customHeight="false" outlineLevel="0" collapsed="false">
      <c r="A81" s="4" t="s">
        <v>86</v>
      </c>
      <c r="B81" s="4" t="n">
        <v>10</v>
      </c>
      <c r="C81" s="4" t="n">
        <f aca="false">IF(B81&lt;=7,1,2)</f>
        <v>2</v>
      </c>
      <c r="D81" s="15"/>
      <c r="E81" s="15"/>
      <c r="F81" s="15"/>
      <c r="G81" s="15"/>
      <c r="H81" s="15"/>
      <c r="I81" s="15"/>
      <c r="J81" s="15"/>
      <c r="K81" s="16"/>
      <c r="L81" s="16"/>
      <c r="M81" s="15"/>
      <c r="N81" s="14" t="str">
        <f aca="false">IF(OR(E81="",F81="",G81=""),"",10*(E81-1)+10*(G81-1)+10*(2-MIN(F81,2)))</f>
        <v/>
      </c>
      <c r="O81" s="14" t="n">
        <f aca="false">IF(AND(N81&lt;&gt;"",I81&lt;&gt;""),1,0)</f>
        <v>0</v>
      </c>
      <c r="P81" s="14" t="str">
        <f aca="false">IF(N81="","",IF(N81&lt;Ngưỡng!$B$4,1,0))</f>
        <v/>
      </c>
      <c r="Q81" s="14" t="str">
        <f aca="false">IF(I81="","",IF(I81&gt;=Ngưỡng!$B$5,1,0))</f>
        <v/>
      </c>
      <c r="R81" s="14" t="str">
        <f aca="false">IF(H81="","",IF(H81&lt;&gt;"Yên",1,0))</f>
        <v/>
      </c>
      <c r="S81" s="14" t="str">
        <f aca="false">IF(K81="","",IF(K81&gt;Ngưỡng!$B$6,1,0))</f>
        <v/>
      </c>
      <c r="T81" s="14" t="str">
        <f aca="false">IF(N81="","",IF(N81&gt;=Ngưỡng!$B$3,1,0))</f>
        <v/>
      </c>
      <c r="U81" s="14" t="n">
        <f aca="false">IF(I81=5,U80+1,0)</f>
        <v>0</v>
      </c>
      <c r="V81" s="14" t="n">
        <f aca="false">IF(AND(F81&lt;&gt;"",F81&gt;=2),V80+1,0)</f>
        <v>0</v>
      </c>
      <c r="W81" s="14" t="n">
        <f aca="false">IF(O81=0,W80+1,0)</f>
        <v>10</v>
      </c>
      <c r="X81" s="14" t="str">
        <f aca="false">IF(OR(E81="",F81=""),"",ROUND((10*(E81-1)+10*(2-MIN(F81,2)))/60*100,0))</f>
        <v/>
      </c>
    </row>
    <row r="82" customFormat="false" ht="15" hidden="false" customHeight="false" outlineLevel="0" collapsed="false">
      <c r="A82" s="4" t="s">
        <v>86</v>
      </c>
      <c r="B82" s="4" t="n">
        <v>11</v>
      </c>
      <c r="C82" s="4" t="n">
        <f aca="false">IF(B82&lt;=7,1,2)</f>
        <v>2</v>
      </c>
      <c r="D82" s="15"/>
      <c r="E82" s="15"/>
      <c r="F82" s="15"/>
      <c r="G82" s="15"/>
      <c r="H82" s="15"/>
      <c r="I82" s="15"/>
      <c r="J82" s="15"/>
      <c r="K82" s="16"/>
      <c r="L82" s="16"/>
      <c r="M82" s="15"/>
      <c r="N82" s="14" t="str">
        <f aca="false">IF(OR(E82="",F82="",G82=""),"",10*(E82-1)+10*(G82-1)+10*(2-MIN(F82,2)))</f>
        <v/>
      </c>
      <c r="O82" s="14" t="n">
        <f aca="false">IF(AND(N82&lt;&gt;"",I82&lt;&gt;""),1,0)</f>
        <v>0</v>
      </c>
      <c r="P82" s="14" t="str">
        <f aca="false">IF(N82="","",IF(N82&lt;Ngưỡng!$B$4,1,0))</f>
        <v/>
      </c>
      <c r="Q82" s="14" t="str">
        <f aca="false">IF(I82="","",IF(I82&gt;=Ngưỡng!$B$5,1,0))</f>
        <v/>
      </c>
      <c r="R82" s="14" t="str">
        <f aca="false">IF(H82="","",IF(H82&lt;&gt;"Yên",1,0))</f>
        <v/>
      </c>
      <c r="S82" s="14" t="str">
        <f aca="false">IF(K82="","",IF(K82&gt;Ngưỡng!$B$6,1,0))</f>
        <v/>
      </c>
      <c r="T82" s="14" t="str">
        <f aca="false">IF(N82="","",IF(N82&gt;=Ngưỡng!$B$3,1,0))</f>
        <v/>
      </c>
      <c r="U82" s="14" t="n">
        <f aca="false">IF(I82=5,U81+1,0)</f>
        <v>0</v>
      </c>
      <c r="V82" s="14" t="n">
        <f aca="false">IF(AND(F82&lt;&gt;"",F82&gt;=2),V81+1,0)</f>
        <v>0</v>
      </c>
      <c r="W82" s="14" t="n">
        <f aca="false">IF(O82=0,W81+1,0)</f>
        <v>11</v>
      </c>
      <c r="X82" s="14" t="str">
        <f aca="false">IF(OR(E82="",F82=""),"",ROUND((10*(E82-1)+10*(2-MIN(F82,2)))/60*100,0))</f>
        <v/>
      </c>
    </row>
    <row r="83" customFormat="false" ht="15" hidden="false" customHeight="false" outlineLevel="0" collapsed="false">
      <c r="A83" s="4" t="s">
        <v>86</v>
      </c>
      <c r="B83" s="4" t="n">
        <v>12</v>
      </c>
      <c r="C83" s="4" t="n">
        <f aca="false">IF(B83&lt;=7,1,2)</f>
        <v>2</v>
      </c>
      <c r="D83" s="15"/>
      <c r="E83" s="15"/>
      <c r="F83" s="15"/>
      <c r="G83" s="15"/>
      <c r="H83" s="15"/>
      <c r="I83" s="15"/>
      <c r="J83" s="15"/>
      <c r="K83" s="16"/>
      <c r="L83" s="16"/>
      <c r="M83" s="15"/>
      <c r="N83" s="14" t="str">
        <f aca="false">IF(OR(E83="",F83="",G83=""),"",10*(E83-1)+10*(G83-1)+10*(2-MIN(F83,2)))</f>
        <v/>
      </c>
      <c r="O83" s="14" t="n">
        <f aca="false">IF(AND(N83&lt;&gt;"",I83&lt;&gt;""),1,0)</f>
        <v>0</v>
      </c>
      <c r="P83" s="14" t="str">
        <f aca="false">IF(N83="","",IF(N83&lt;Ngưỡng!$B$4,1,0))</f>
        <v/>
      </c>
      <c r="Q83" s="14" t="str">
        <f aca="false">IF(I83="","",IF(I83&gt;=Ngưỡng!$B$5,1,0))</f>
        <v/>
      </c>
      <c r="R83" s="14" t="str">
        <f aca="false">IF(H83="","",IF(H83&lt;&gt;"Yên",1,0))</f>
        <v/>
      </c>
      <c r="S83" s="14" t="str">
        <f aca="false">IF(K83="","",IF(K83&gt;Ngưỡng!$B$6,1,0))</f>
        <v/>
      </c>
      <c r="T83" s="14" t="str">
        <f aca="false">IF(N83="","",IF(N83&gt;=Ngưỡng!$B$3,1,0))</f>
        <v/>
      </c>
      <c r="U83" s="14" t="n">
        <f aca="false">IF(I83=5,U82+1,0)</f>
        <v>0</v>
      </c>
      <c r="V83" s="14" t="n">
        <f aca="false">IF(AND(F83&lt;&gt;"",F83&gt;=2),V82+1,0)</f>
        <v>0</v>
      </c>
      <c r="W83" s="14" t="n">
        <f aca="false">IF(O83=0,W82+1,0)</f>
        <v>12</v>
      </c>
      <c r="X83" s="14" t="str">
        <f aca="false">IF(OR(E83="",F83=""),"",ROUND((10*(E83-1)+10*(2-MIN(F83,2)))/60*100,0))</f>
        <v/>
      </c>
    </row>
    <row r="84" customFormat="false" ht="15" hidden="false" customHeight="false" outlineLevel="0" collapsed="false">
      <c r="A84" s="4" t="s">
        <v>86</v>
      </c>
      <c r="B84" s="4" t="n">
        <v>13</v>
      </c>
      <c r="C84" s="4" t="n">
        <f aca="false">IF(B84&lt;=7,1,2)</f>
        <v>2</v>
      </c>
      <c r="D84" s="15"/>
      <c r="E84" s="15"/>
      <c r="F84" s="15"/>
      <c r="G84" s="15"/>
      <c r="H84" s="15"/>
      <c r="I84" s="15"/>
      <c r="J84" s="15"/>
      <c r="K84" s="16"/>
      <c r="L84" s="16"/>
      <c r="M84" s="15"/>
      <c r="N84" s="14" t="str">
        <f aca="false">IF(OR(E84="",F84="",G84=""),"",10*(E84-1)+10*(G84-1)+10*(2-MIN(F84,2)))</f>
        <v/>
      </c>
      <c r="O84" s="14" t="n">
        <f aca="false">IF(AND(N84&lt;&gt;"",I84&lt;&gt;""),1,0)</f>
        <v>0</v>
      </c>
      <c r="P84" s="14" t="str">
        <f aca="false">IF(N84="","",IF(N84&lt;Ngưỡng!$B$4,1,0))</f>
        <v/>
      </c>
      <c r="Q84" s="14" t="str">
        <f aca="false">IF(I84="","",IF(I84&gt;=Ngưỡng!$B$5,1,0))</f>
        <v/>
      </c>
      <c r="R84" s="14" t="str">
        <f aca="false">IF(H84="","",IF(H84&lt;&gt;"Yên",1,0))</f>
        <v/>
      </c>
      <c r="S84" s="14" t="str">
        <f aca="false">IF(K84="","",IF(K84&gt;Ngưỡng!$B$6,1,0))</f>
        <v/>
      </c>
      <c r="T84" s="14" t="str">
        <f aca="false">IF(N84="","",IF(N84&gt;=Ngưỡng!$B$3,1,0))</f>
        <v/>
      </c>
      <c r="U84" s="14" t="n">
        <f aca="false">IF(I84=5,U83+1,0)</f>
        <v>0</v>
      </c>
      <c r="V84" s="14" t="n">
        <f aca="false">IF(AND(F84&lt;&gt;"",F84&gt;=2),V83+1,0)</f>
        <v>0</v>
      </c>
      <c r="W84" s="14" t="n">
        <f aca="false">IF(O84=0,W83+1,0)</f>
        <v>13</v>
      </c>
      <c r="X84" s="14" t="str">
        <f aca="false">IF(OR(E84="",F84=""),"",ROUND((10*(E84-1)+10*(2-MIN(F84,2)))/60*100,0))</f>
        <v/>
      </c>
    </row>
    <row r="85" customFormat="false" ht="15" hidden="false" customHeight="false" outlineLevel="0" collapsed="false">
      <c r="A85" s="4" t="s">
        <v>86</v>
      </c>
      <c r="B85" s="4" t="n">
        <v>14</v>
      </c>
      <c r="C85" s="4" t="n">
        <f aca="false">IF(B85&lt;=7,1,2)</f>
        <v>2</v>
      </c>
      <c r="D85" s="15"/>
      <c r="E85" s="15"/>
      <c r="F85" s="15"/>
      <c r="G85" s="15"/>
      <c r="H85" s="15"/>
      <c r="I85" s="15"/>
      <c r="J85" s="15"/>
      <c r="K85" s="16"/>
      <c r="L85" s="16"/>
      <c r="M85" s="15"/>
      <c r="N85" s="14" t="str">
        <f aca="false">IF(OR(E85="",F85="",G85=""),"",10*(E85-1)+10*(G85-1)+10*(2-MIN(F85,2)))</f>
        <v/>
      </c>
      <c r="O85" s="14" t="n">
        <f aca="false">IF(AND(N85&lt;&gt;"",I85&lt;&gt;""),1,0)</f>
        <v>0</v>
      </c>
      <c r="P85" s="14" t="str">
        <f aca="false">IF(N85="","",IF(N85&lt;Ngưỡng!$B$4,1,0))</f>
        <v/>
      </c>
      <c r="Q85" s="14" t="str">
        <f aca="false">IF(I85="","",IF(I85&gt;=Ngưỡng!$B$5,1,0))</f>
        <v/>
      </c>
      <c r="R85" s="14" t="str">
        <f aca="false">IF(H85="","",IF(H85&lt;&gt;"Yên",1,0))</f>
        <v/>
      </c>
      <c r="S85" s="14" t="str">
        <f aca="false">IF(K85="","",IF(K85&gt;Ngưỡng!$B$6,1,0))</f>
        <v/>
      </c>
      <c r="T85" s="14" t="str">
        <f aca="false">IF(N85="","",IF(N85&gt;=Ngưỡng!$B$3,1,0))</f>
        <v/>
      </c>
      <c r="U85" s="14" t="n">
        <f aca="false">IF(I85=5,U84+1,0)</f>
        <v>0</v>
      </c>
      <c r="V85" s="14" t="n">
        <f aca="false">IF(AND(F85&lt;&gt;"",F85&gt;=2),V84+1,0)</f>
        <v>0</v>
      </c>
      <c r="W85" s="14" t="n">
        <f aca="false">IF(O85=0,W84+1,0)</f>
        <v>14</v>
      </c>
      <c r="X85" s="14" t="str">
        <f aca="false">IF(OR(E85="",F85=""),"",ROUND((10*(E85-1)+10*(2-MIN(F85,2)))/60*100,0))</f>
        <v/>
      </c>
    </row>
    <row r="86" customFormat="false" ht="15" hidden="false" customHeight="false" outlineLevel="0" collapsed="false">
      <c r="A86" s="4" t="s">
        <v>87</v>
      </c>
      <c r="B86" s="4" t="n">
        <v>1</v>
      </c>
      <c r="C86" s="4" t="n">
        <f aca="false">IF(B86&lt;=7,1,2)</f>
        <v>1</v>
      </c>
      <c r="D86" s="15"/>
      <c r="E86" s="15"/>
      <c r="F86" s="15"/>
      <c r="G86" s="15"/>
      <c r="H86" s="15"/>
      <c r="I86" s="15"/>
      <c r="J86" s="15"/>
      <c r="K86" s="16"/>
      <c r="L86" s="16"/>
      <c r="M86" s="15"/>
      <c r="N86" s="14" t="str">
        <f aca="false">IF(OR(E86="",F86="",G86=""),"",10*(E86-1)+10*(G86-1)+10*(2-MIN(F86,2)))</f>
        <v/>
      </c>
      <c r="O86" s="14" t="n">
        <f aca="false">IF(AND(N86&lt;&gt;"",I86&lt;&gt;""),1,0)</f>
        <v>0</v>
      </c>
      <c r="P86" s="14" t="str">
        <f aca="false">IF(N86="","",IF(N86&lt;Ngưỡng!$B$4,1,0))</f>
        <v/>
      </c>
      <c r="Q86" s="14" t="str">
        <f aca="false">IF(I86="","",IF(I86&gt;=Ngưỡng!$B$5,1,0))</f>
        <v/>
      </c>
      <c r="R86" s="14" t="str">
        <f aca="false">IF(H86="","",IF(H86&lt;&gt;"Yên",1,0))</f>
        <v/>
      </c>
      <c r="S86" s="14" t="str">
        <f aca="false">IF(K86="","",IF(K86&gt;Ngưỡng!$B$6,1,0))</f>
        <v/>
      </c>
      <c r="T86" s="14" t="str">
        <f aca="false">IF(N86="","",IF(N86&gt;=Ngưỡng!$B$3,1,0))</f>
        <v/>
      </c>
      <c r="U86" s="14" t="n">
        <f aca="false">IF(I86=5,0+1,0)</f>
        <v>0</v>
      </c>
      <c r="V86" s="14" t="n">
        <f aca="false">IF(AND(F86&lt;&gt;"",F86&gt;=2),0+1,0)</f>
        <v>0</v>
      </c>
      <c r="W86" s="14" t="n">
        <f aca="false">IF(O86=0,0+1,0)</f>
        <v>1</v>
      </c>
      <c r="X86" s="14" t="str">
        <f aca="false">IF(OR(E86="",F86=""),"",ROUND((10*(E86-1)+10*(2-MIN(F86,2)))/60*100,0))</f>
        <v/>
      </c>
    </row>
    <row r="87" customFormat="false" ht="15" hidden="false" customHeight="false" outlineLevel="0" collapsed="false">
      <c r="A87" s="4" t="s">
        <v>87</v>
      </c>
      <c r="B87" s="4" t="n">
        <v>2</v>
      </c>
      <c r="C87" s="4" t="n">
        <f aca="false">IF(B87&lt;=7,1,2)</f>
        <v>1</v>
      </c>
      <c r="D87" s="15"/>
      <c r="E87" s="15"/>
      <c r="F87" s="15"/>
      <c r="G87" s="15"/>
      <c r="H87" s="15"/>
      <c r="I87" s="15"/>
      <c r="J87" s="15"/>
      <c r="K87" s="16"/>
      <c r="L87" s="16"/>
      <c r="M87" s="15"/>
      <c r="N87" s="14" t="str">
        <f aca="false">IF(OR(E87="",F87="",G87=""),"",10*(E87-1)+10*(G87-1)+10*(2-MIN(F87,2)))</f>
        <v/>
      </c>
      <c r="O87" s="14" t="n">
        <f aca="false">IF(AND(N87&lt;&gt;"",I87&lt;&gt;""),1,0)</f>
        <v>0</v>
      </c>
      <c r="P87" s="14" t="str">
        <f aca="false">IF(N87="","",IF(N87&lt;Ngưỡng!$B$4,1,0))</f>
        <v/>
      </c>
      <c r="Q87" s="14" t="str">
        <f aca="false">IF(I87="","",IF(I87&gt;=Ngưỡng!$B$5,1,0))</f>
        <v/>
      </c>
      <c r="R87" s="14" t="str">
        <f aca="false">IF(H87="","",IF(H87&lt;&gt;"Yên",1,0))</f>
        <v/>
      </c>
      <c r="S87" s="14" t="str">
        <f aca="false">IF(K87="","",IF(K87&gt;Ngưỡng!$B$6,1,0))</f>
        <v/>
      </c>
      <c r="T87" s="14" t="str">
        <f aca="false">IF(N87="","",IF(N87&gt;=Ngưỡng!$B$3,1,0))</f>
        <v/>
      </c>
      <c r="U87" s="14" t="n">
        <f aca="false">IF(I87=5,U86+1,0)</f>
        <v>0</v>
      </c>
      <c r="V87" s="14" t="n">
        <f aca="false">IF(AND(F87&lt;&gt;"",F87&gt;=2),V86+1,0)</f>
        <v>0</v>
      </c>
      <c r="W87" s="14" t="n">
        <f aca="false">IF(O87=0,W86+1,0)</f>
        <v>2</v>
      </c>
      <c r="X87" s="14" t="str">
        <f aca="false">IF(OR(E87="",F87=""),"",ROUND((10*(E87-1)+10*(2-MIN(F87,2)))/60*100,0))</f>
        <v/>
      </c>
    </row>
    <row r="88" customFormat="false" ht="15" hidden="false" customHeight="false" outlineLevel="0" collapsed="false">
      <c r="A88" s="4" t="s">
        <v>87</v>
      </c>
      <c r="B88" s="4" t="n">
        <v>3</v>
      </c>
      <c r="C88" s="4" t="n">
        <f aca="false">IF(B88&lt;=7,1,2)</f>
        <v>1</v>
      </c>
      <c r="D88" s="15"/>
      <c r="E88" s="15"/>
      <c r="F88" s="15"/>
      <c r="G88" s="15"/>
      <c r="H88" s="15"/>
      <c r="I88" s="15"/>
      <c r="J88" s="15"/>
      <c r="K88" s="16"/>
      <c r="L88" s="16"/>
      <c r="M88" s="15"/>
      <c r="N88" s="14" t="str">
        <f aca="false">IF(OR(E88="",F88="",G88=""),"",10*(E88-1)+10*(G88-1)+10*(2-MIN(F88,2)))</f>
        <v/>
      </c>
      <c r="O88" s="14" t="n">
        <f aca="false">IF(AND(N88&lt;&gt;"",I88&lt;&gt;""),1,0)</f>
        <v>0</v>
      </c>
      <c r="P88" s="14" t="str">
        <f aca="false">IF(N88="","",IF(N88&lt;Ngưỡng!$B$4,1,0))</f>
        <v/>
      </c>
      <c r="Q88" s="14" t="str">
        <f aca="false">IF(I88="","",IF(I88&gt;=Ngưỡng!$B$5,1,0))</f>
        <v/>
      </c>
      <c r="R88" s="14" t="str">
        <f aca="false">IF(H88="","",IF(H88&lt;&gt;"Yên",1,0))</f>
        <v/>
      </c>
      <c r="S88" s="14" t="str">
        <f aca="false">IF(K88="","",IF(K88&gt;Ngưỡng!$B$6,1,0))</f>
        <v/>
      </c>
      <c r="T88" s="14" t="str">
        <f aca="false">IF(N88="","",IF(N88&gt;=Ngưỡng!$B$3,1,0))</f>
        <v/>
      </c>
      <c r="U88" s="14" t="n">
        <f aca="false">IF(I88=5,U87+1,0)</f>
        <v>0</v>
      </c>
      <c r="V88" s="14" t="n">
        <f aca="false">IF(AND(F88&lt;&gt;"",F88&gt;=2),V87+1,0)</f>
        <v>0</v>
      </c>
      <c r="W88" s="14" t="n">
        <f aca="false">IF(O88=0,W87+1,0)</f>
        <v>3</v>
      </c>
      <c r="X88" s="14" t="str">
        <f aca="false">IF(OR(E88="",F88=""),"",ROUND((10*(E88-1)+10*(2-MIN(F88,2)))/60*100,0))</f>
        <v/>
      </c>
    </row>
    <row r="89" customFormat="false" ht="15" hidden="false" customHeight="false" outlineLevel="0" collapsed="false">
      <c r="A89" s="4" t="s">
        <v>87</v>
      </c>
      <c r="B89" s="4" t="n">
        <v>4</v>
      </c>
      <c r="C89" s="4" t="n">
        <f aca="false">IF(B89&lt;=7,1,2)</f>
        <v>1</v>
      </c>
      <c r="D89" s="15"/>
      <c r="E89" s="15"/>
      <c r="F89" s="15"/>
      <c r="G89" s="15"/>
      <c r="H89" s="15"/>
      <c r="I89" s="15"/>
      <c r="J89" s="15"/>
      <c r="K89" s="16"/>
      <c r="L89" s="16"/>
      <c r="M89" s="15"/>
      <c r="N89" s="14" t="str">
        <f aca="false">IF(OR(E89="",F89="",G89=""),"",10*(E89-1)+10*(G89-1)+10*(2-MIN(F89,2)))</f>
        <v/>
      </c>
      <c r="O89" s="14" t="n">
        <f aca="false">IF(AND(N89&lt;&gt;"",I89&lt;&gt;""),1,0)</f>
        <v>0</v>
      </c>
      <c r="P89" s="14" t="str">
        <f aca="false">IF(N89="","",IF(N89&lt;Ngưỡng!$B$4,1,0))</f>
        <v/>
      </c>
      <c r="Q89" s="14" t="str">
        <f aca="false">IF(I89="","",IF(I89&gt;=Ngưỡng!$B$5,1,0))</f>
        <v/>
      </c>
      <c r="R89" s="14" t="str">
        <f aca="false">IF(H89="","",IF(H89&lt;&gt;"Yên",1,0))</f>
        <v/>
      </c>
      <c r="S89" s="14" t="str">
        <f aca="false">IF(K89="","",IF(K89&gt;Ngưỡng!$B$6,1,0))</f>
        <v/>
      </c>
      <c r="T89" s="14" t="str">
        <f aca="false">IF(N89="","",IF(N89&gt;=Ngưỡng!$B$3,1,0))</f>
        <v/>
      </c>
      <c r="U89" s="14" t="n">
        <f aca="false">IF(I89=5,U88+1,0)</f>
        <v>0</v>
      </c>
      <c r="V89" s="14" t="n">
        <f aca="false">IF(AND(F89&lt;&gt;"",F89&gt;=2),V88+1,0)</f>
        <v>0</v>
      </c>
      <c r="W89" s="14" t="n">
        <f aca="false">IF(O89=0,W88+1,0)</f>
        <v>4</v>
      </c>
      <c r="X89" s="14" t="str">
        <f aca="false">IF(OR(E89="",F89=""),"",ROUND((10*(E89-1)+10*(2-MIN(F89,2)))/60*100,0))</f>
        <v/>
      </c>
    </row>
    <row r="90" customFormat="false" ht="15" hidden="false" customHeight="false" outlineLevel="0" collapsed="false">
      <c r="A90" s="4" t="s">
        <v>87</v>
      </c>
      <c r="B90" s="4" t="n">
        <v>5</v>
      </c>
      <c r="C90" s="4" t="n">
        <f aca="false">IF(B90&lt;=7,1,2)</f>
        <v>1</v>
      </c>
      <c r="D90" s="15"/>
      <c r="E90" s="15"/>
      <c r="F90" s="15"/>
      <c r="G90" s="15"/>
      <c r="H90" s="15"/>
      <c r="I90" s="15"/>
      <c r="J90" s="15"/>
      <c r="K90" s="16"/>
      <c r="L90" s="16"/>
      <c r="M90" s="15"/>
      <c r="N90" s="14" t="str">
        <f aca="false">IF(OR(E90="",F90="",G90=""),"",10*(E90-1)+10*(G90-1)+10*(2-MIN(F90,2)))</f>
        <v/>
      </c>
      <c r="O90" s="14" t="n">
        <f aca="false">IF(AND(N90&lt;&gt;"",I90&lt;&gt;""),1,0)</f>
        <v>0</v>
      </c>
      <c r="P90" s="14" t="str">
        <f aca="false">IF(N90="","",IF(N90&lt;Ngưỡng!$B$4,1,0))</f>
        <v/>
      </c>
      <c r="Q90" s="14" t="str">
        <f aca="false">IF(I90="","",IF(I90&gt;=Ngưỡng!$B$5,1,0))</f>
        <v/>
      </c>
      <c r="R90" s="14" t="str">
        <f aca="false">IF(H90="","",IF(H90&lt;&gt;"Yên",1,0))</f>
        <v/>
      </c>
      <c r="S90" s="14" t="str">
        <f aca="false">IF(K90="","",IF(K90&gt;Ngưỡng!$B$6,1,0))</f>
        <v/>
      </c>
      <c r="T90" s="14" t="str">
        <f aca="false">IF(N90="","",IF(N90&gt;=Ngưỡng!$B$3,1,0))</f>
        <v/>
      </c>
      <c r="U90" s="14" t="n">
        <f aca="false">IF(I90=5,U89+1,0)</f>
        <v>0</v>
      </c>
      <c r="V90" s="14" t="n">
        <f aca="false">IF(AND(F90&lt;&gt;"",F90&gt;=2),V89+1,0)</f>
        <v>0</v>
      </c>
      <c r="W90" s="14" t="n">
        <f aca="false">IF(O90=0,W89+1,0)</f>
        <v>5</v>
      </c>
      <c r="X90" s="14" t="str">
        <f aca="false">IF(OR(E90="",F90=""),"",ROUND((10*(E90-1)+10*(2-MIN(F90,2)))/60*100,0))</f>
        <v/>
      </c>
    </row>
    <row r="91" customFormat="false" ht="15" hidden="false" customHeight="false" outlineLevel="0" collapsed="false">
      <c r="A91" s="4" t="s">
        <v>87</v>
      </c>
      <c r="B91" s="4" t="n">
        <v>6</v>
      </c>
      <c r="C91" s="4" t="n">
        <f aca="false">IF(B91&lt;=7,1,2)</f>
        <v>1</v>
      </c>
      <c r="D91" s="15"/>
      <c r="E91" s="15"/>
      <c r="F91" s="15"/>
      <c r="G91" s="15"/>
      <c r="H91" s="15"/>
      <c r="I91" s="15"/>
      <c r="J91" s="15"/>
      <c r="K91" s="16"/>
      <c r="L91" s="16"/>
      <c r="M91" s="15"/>
      <c r="N91" s="14" t="str">
        <f aca="false">IF(OR(E91="",F91="",G91=""),"",10*(E91-1)+10*(G91-1)+10*(2-MIN(F91,2)))</f>
        <v/>
      </c>
      <c r="O91" s="14" t="n">
        <f aca="false">IF(AND(N91&lt;&gt;"",I91&lt;&gt;""),1,0)</f>
        <v>0</v>
      </c>
      <c r="P91" s="14" t="str">
        <f aca="false">IF(N91="","",IF(N91&lt;Ngưỡng!$B$4,1,0))</f>
        <v/>
      </c>
      <c r="Q91" s="14" t="str">
        <f aca="false">IF(I91="","",IF(I91&gt;=Ngưỡng!$B$5,1,0))</f>
        <v/>
      </c>
      <c r="R91" s="14" t="str">
        <f aca="false">IF(H91="","",IF(H91&lt;&gt;"Yên",1,0))</f>
        <v/>
      </c>
      <c r="S91" s="14" t="str">
        <f aca="false">IF(K91="","",IF(K91&gt;Ngưỡng!$B$6,1,0))</f>
        <v/>
      </c>
      <c r="T91" s="14" t="str">
        <f aca="false">IF(N91="","",IF(N91&gt;=Ngưỡng!$B$3,1,0))</f>
        <v/>
      </c>
      <c r="U91" s="14" t="n">
        <f aca="false">IF(I91=5,U90+1,0)</f>
        <v>0</v>
      </c>
      <c r="V91" s="14" t="n">
        <f aca="false">IF(AND(F91&lt;&gt;"",F91&gt;=2),V90+1,0)</f>
        <v>0</v>
      </c>
      <c r="W91" s="14" t="n">
        <f aca="false">IF(O91=0,W90+1,0)</f>
        <v>6</v>
      </c>
      <c r="X91" s="14" t="str">
        <f aca="false">IF(OR(E91="",F91=""),"",ROUND((10*(E91-1)+10*(2-MIN(F91,2)))/60*100,0))</f>
        <v/>
      </c>
    </row>
    <row r="92" customFormat="false" ht="15" hidden="false" customHeight="false" outlineLevel="0" collapsed="false">
      <c r="A92" s="4" t="s">
        <v>87</v>
      </c>
      <c r="B92" s="4" t="n">
        <v>7</v>
      </c>
      <c r="C92" s="4" t="n">
        <f aca="false">IF(B92&lt;=7,1,2)</f>
        <v>1</v>
      </c>
      <c r="D92" s="15"/>
      <c r="E92" s="15"/>
      <c r="F92" s="15"/>
      <c r="G92" s="15"/>
      <c r="H92" s="15"/>
      <c r="I92" s="15"/>
      <c r="J92" s="15"/>
      <c r="K92" s="16"/>
      <c r="L92" s="16"/>
      <c r="M92" s="15"/>
      <c r="N92" s="14" t="str">
        <f aca="false">IF(OR(E92="",F92="",G92=""),"",10*(E92-1)+10*(G92-1)+10*(2-MIN(F92,2)))</f>
        <v/>
      </c>
      <c r="O92" s="14" t="n">
        <f aca="false">IF(AND(N92&lt;&gt;"",I92&lt;&gt;""),1,0)</f>
        <v>0</v>
      </c>
      <c r="P92" s="14" t="str">
        <f aca="false">IF(N92="","",IF(N92&lt;Ngưỡng!$B$4,1,0))</f>
        <v/>
      </c>
      <c r="Q92" s="14" t="str">
        <f aca="false">IF(I92="","",IF(I92&gt;=Ngưỡng!$B$5,1,0))</f>
        <v/>
      </c>
      <c r="R92" s="14" t="str">
        <f aca="false">IF(H92="","",IF(H92&lt;&gt;"Yên",1,0))</f>
        <v/>
      </c>
      <c r="S92" s="14" t="str">
        <f aca="false">IF(K92="","",IF(K92&gt;Ngưỡng!$B$6,1,0))</f>
        <v/>
      </c>
      <c r="T92" s="14" t="str">
        <f aca="false">IF(N92="","",IF(N92&gt;=Ngưỡng!$B$3,1,0))</f>
        <v/>
      </c>
      <c r="U92" s="14" t="n">
        <f aca="false">IF(I92=5,U91+1,0)</f>
        <v>0</v>
      </c>
      <c r="V92" s="14" t="n">
        <f aca="false">IF(AND(F92&lt;&gt;"",F92&gt;=2),V91+1,0)</f>
        <v>0</v>
      </c>
      <c r="W92" s="14" t="n">
        <f aca="false">IF(O92=0,W91+1,0)</f>
        <v>7</v>
      </c>
      <c r="X92" s="14" t="str">
        <f aca="false">IF(OR(E92="",F92=""),"",ROUND((10*(E92-1)+10*(2-MIN(F92,2)))/60*100,0))</f>
        <v/>
      </c>
    </row>
    <row r="93" customFormat="false" ht="15" hidden="false" customHeight="false" outlineLevel="0" collapsed="false">
      <c r="A93" s="4" t="s">
        <v>87</v>
      </c>
      <c r="B93" s="4" t="n">
        <v>8</v>
      </c>
      <c r="C93" s="4" t="n">
        <f aca="false">IF(B93&lt;=7,1,2)</f>
        <v>2</v>
      </c>
      <c r="D93" s="15"/>
      <c r="E93" s="15"/>
      <c r="F93" s="15"/>
      <c r="G93" s="15"/>
      <c r="H93" s="15"/>
      <c r="I93" s="15"/>
      <c r="J93" s="15"/>
      <c r="K93" s="16"/>
      <c r="L93" s="16"/>
      <c r="M93" s="15"/>
      <c r="N93" s="14" t="str">
        <f aca="false">IF(OR(E93="",F93="",G93=""),"",10*(E93-1)+10*(G93-1)+10*(2-MIN(F93,2)))</f>
        <v/>
      </c>
      <c r="O93" s="14" t="n">
        <f aca="false">IF(AND(N93&lt;&gt;"",I93&lt;&gt;""),1,0)</f>
        <v>0</v>
      </c>
      <c r="P93" s="14" t="str">
        <f aca="false">IF(N93="","",IF(N93&lt;Ngưỡng!$B$4,1,0))</f>
        <v/>
      </c>
      <c r="Q93" s="14" t="str">
        <f aca="false">IF(I93="","",IF(I93&gt;=Ngưỡng!$B$5,1,0))</f>
        <v/>
      </c>
      <c r="R93" s="14" t="str">
        <f aca="false">IF(H93="","",IF(H93&lt;&gt;"Yên",1,0))</f>
        <v/>
      </c>
      <c r="S93" s="14" t="str">
        <f aca="false">IF(K93="","",IF(K93&gt;Ngưỡng!$B$6,1,0))</f>
        <v/>
      </c>
      <c r="T93" s="14" t="str">
        <f aca="false">IF(N93="","",IF(N93&gt;=Ngưỡng!$B$3,1,0))</f>
        <v/>
      </c>
      <c r="U93" s="14" t="n">
        <f aca="false">IF(I93=5,U92+1,0)</f>
        <v>0</v>
      </c>
      <c r="V93" s="14" t="n">
        <f aca="false">IF(AND(F93&lt;&gt;"",F93&gt;=2),V92+1,0)</f>
        <v>0</v>
      </c>
      <c r="W93" s="14" t="n">
        <f aca="false">IF(O93=0,W92+1,0)</f>
        <v>8</v>
      </c>
      <c r="X93" s="14" t="str">
        <f aca="false">IF(OR(E93="",F93=""),"",ROUND((10*(E93-1)+10*(2-MIN(F93,2)))/60*100,0))</f>
        <v/>
      </c>
    </row>
    <row r="94" customFormat="false" ht="15" hidden="false" customHeight="false" outlineLevel="0" collapsed="false">
      <c r="A94" s="4" t="s">
        <v>87</v>
      </c>
      <c r="B94" s="4" t="n">
        <v>9</v>
      </c>
      <c r="C94" s="4" t="n">
        <f aca="false">IF(B94&lt;=7,1,2)</f>
        <v>2</v>
      </c>
      <c r="D94" s="15"/>
      <c r="E94" s="15"/>
      <c r="F94" s="15"/>
      <c r="G94" s="15"/>
      <c r="H94" s="15"/>
      <c r="I94" s="15"/>
      <c r="J94" s="15"/>
      <c r="K94" s="16"/>
      <c r="L94" s="16"/>
      <c r="M94" s="15"/>
      <c r="N94" s="14" t="str">
        <f aca="false">IF(OR(E94="",F94="",G94=""),"",10*(E94-1)+10*(G94-1)+10*(2-MIN(F94,2)))</f>
        <v/>
      </c>
      <c r="O94" s="14" t="n">
        <f aca="false">IF(AND(N94&lt;&gt;"",I94&lt;&gt;""),1,0)</f>
        <v>0</v>
      </c>
      <c r="P94" s="14" t="str">
        <f aca="false">IF(N94="","",IF(N94&lt;Ngưỡng!$B$4,1,0))</f>
        <v/>
      </c>
      <c r="Q94" s="14" t="str">
        <f aca="false">IF(I94="","",IF(I94&gt;=Ngưỡng!$B$5,1,0))</f>
        <v/>
      </c>
      <c r="R94" s="14" t="str">
        <f aca="false">IF(H94="","",IF(H94&lt;&gt;"Yên",1,0))</f>
        <v/>
      </c>
      <c r="S94" s="14" t="str">
        <f aca="false">IF(K94="","",IF(K94&gt;Ngưỡng!$B$6,1,0))</f>
        <v/>
      </c>
      <c r="T94" s="14" t="str">
        <f aca="false">IF(N94="","",IF(N94&gt;=Ngưỡng!$B$3,1,0))</f>
        <v/>
      </c>
      <c r="U94" s="14" t="n">
        <f aca="false">IF(I94=5,U93+1,0)</f>
        <v>0</v>
      </c>
      <c r="V94" s="14" t="n">
        <f aca="false">IF(AND(F94&lt;&gt;"",F94&gt;=2),V93+1,0)</f>
        <v>0</v>
      </c>
      <c r="W94" s="14" t="n">
        <f aca="false">IF(O94=0,W93+1,0)</f>
        <v>9</v>
      </c>
      <c r="X94" s="14" t="str">
        <f aca="false">IF(OR(E94="",F94=""),"",ROUND((10*(E94-1)+10*(2-MIN(F94,2)))/60*100,0))</f>
        <v/>
      </c>
    </row>
    <row r="95" customFormat="false" ht="15" hidden="false" customHeight="false" outlineLevel="0" collapsed="false">
      <c r="A95" s="4" t="s">
        <v>87</v>
      </c>
      <c r="B95" s="4" t="n">
        <v>10</v>
      </c>
      <c r="C95" s="4" t="n">
        <f aca="false">IF(B95&lt;=7,1,2)</f>
        <v>2</v>
      </c>
      <c r="D95" s="15"/>
      <c r="E95" s="15"/>
      <c r="F95" s="15"/>
      <c r="G95" s="15"/>
      <c r="H95" s="15"/>
      <c r="I95" s="15"/>
      <c r="J95" s="15"/>
      <c r="K95" s="16"/>
      <c r="L95" s="16"/>
      <c r="M95" s="15"/>
      <c r="N95" s="14" t="str">
        <f aca="false">IF(OR(E95="",F95="",G95=""),"",10*(E95-1)+10*(G95-1)+10*(2-MIN(F95,2)))</f>
        <v/>
      </c>
      <c r="O95" s="14" t="n">
        <f aca="false">IF(AND(N95&lt;&gt;"",I95&lt;&gt;""),1,0)</f>
        <v>0</v>
      </c>
      <c r="P95" s="14" t="str">
        <f aca="false">IF(N95="","",IF(N95&lt;Ngưỡng!$B$4,1,0))</f>
        <v/>
      </c>
      <c r="Q95" s="14" t="str">
        <f aca="false">IF(I95="","",IF(I95&gt;=Ngưỡng!$B$5,1,0))</f>
        <v/>
      </c>
      <c r="R95" s="14" t="str">
        <f aca="false">IF(H95="","",IF(H95&lt;&gt;"Yên",1,0))</f>
        <v/>
      </c>
      <c r="S95" s="14" t="str">
        <f aca="false">IF(K95="","",IF(K95&gt;Ngưỡng!$B$6,1,0))</f>
        <v/>
      </c>
      <c r="T95" s="14" t="str">
        <f aca="false">IF(N95="","",IF(N95&gt;=Ngưỡng!$B$3,1,0))</f>
        <v/>
      </c>
      <c r="U95" s="14" t="n">
        <f aca="false">IF(I95=5,U94+1,0)</f>
        <v>0</v>
      </c>
      <c r="V95" s="14" t="n">
        <f aca="false">IF(AND(F95&lt;&gt;"",F95&gt;=2),V94+1,0)</f>
        <v>0</v>
      </c>
      <c r="W95" s="14" t="n">
        <f aca="false">IF(O95=0,W94+1,0)</f>
        <v>10</v>
      </c>
      <c r="X95" s="14" t="str">
        <f aca="false">IF(OR(E95="",F95=""),"",ROUND((10*(E95-1)+10*(2-MIN(F95,2)))/60*100,0))</f>
        <v/>
      </c>
    </row>
    <row r="96" customFormat="false" ht="15" hidden="false" customHeight="false" outlineLevel="0" collapsed="false">
      <c r="A96" s="4" t="s">
        <v>87</v>
      </c>
      <c r="B96" s="4" t="n">
        <v>11</v>
      </c>
      <c r="C96" s="4" t="n">
        <f aca="false">IF(B96&lt;=7,1,2)</f>
        <v>2</v>
      </c>
      <c r="D96" s="15"/>
      <c r="E96" s="15"/>
      <c r="F96" s="15"/>
      <c r="G96" s="15"/>
      <c r="H96" s="15"/>
      <c r="I96" s="15"/>
      <c r="J96" s="15"/>
      <c r="K96" s="16"/>
      <c r="L96" s="16"/>
      <c r="M96" s="15"/>
      <c r="N96" s="14" t="str">
        <f aca="false">IF(OR(E96="",F96="",G96=""),"",10*(E96-1)+10*(G96-1)+10*(2-MIN(F96,2)))</f>
        <v/>
      </c>
      <c r="O96" s="14" t="n">
        <f aca="false">IF(AND(N96&lt;&gt;"",I96&lt;&gt;""),1,0)</f>
        <v>0</v>
      </c>
      <c r="P96" s="14" t="str">
        <f aca="false">IF(N96="","",IF(N96&lt;Ngưỡng!$B$4,1,0))</f>
        <v/>
      </c>
      <c r="Q96" s="14" t="str">
        <f aca="false">IF(I96="","",IF(I96&gt;=Ngưỡng!$B$5,1,0))</f>
        <v/>
      </c>
      <c r="R96" s="14" t="str">
        <f aca="false">IF(H96="","",IF(H96&lt;&gt;"Yên",1,0))</f>
        <v/>
      </c>
      <c r="S96" s="14" t="str">
        <f aca="false">IF(K96="","",IF(K96&gt;Ngưỡng!$B$6,1,0))</f>
        <v/>
      </c>
      <c r="T96" s="14" t="str">
        <f aca="false">IF(N96="","",IF(N96&gt;=Ngưỡng!$B$3,1,0))</f>
        <v/>
      </c>
      <c r="U96" s="14" t="n">
        <f aca="false">IF(I96=5,U95+1,0)</f>
        <v>0</v>
      </c>
      <c r="V96" s="14" t="n">
        <f aca="false">IF(AND(F96&lt;&gt;"",F96&gt;=2),V95+1,0)</f>
        <v>0</v>
      </c>
      <c r="W96" s="14" t="n">
        <f aca="false">IF(O96=0,W95+1,0)</f>
        <v>11</v>
      </c>
      <c r="X96" s="14" t="str">
        <f aca="false">IF(OR(E96="",F96=""),"",ROUND((10*(E96-1)+10*(2-MIN(F96,2)))/60*100,0))</f>
        <v/>
      </c>
    </row>
    <row r="97" customFormat="false" ht="15" hidden="false" customHeight="false" outlineLevel="0" collapsed="false">
      <c r="A97" s="4" t="s">
        <v>87</v>
      </c>
      <c r="B97" s="4" t="n">
        <v>12</v>
      </c>
      <c r="C97" s="4" t="n">
        <f aca="false">IF(B97&lt;=7,1,2)</f>
        <v>2</v>
      </c>
      <c r="D97" s="15"/>
      <c r="E97" s="15"/>
      <c r="F97" s="15"/>
      <c r="G97" s="15"/>
      <c r="H97" s="15"/>
      <c r="I97" s="15"/>
      <c r="J97" s="15"/>
      <c r="K97" s="16"/>
      <c r="L97" s="16"/>
      <c r="M97" s="15"/>
      <c r="N97" s="14" t="str">
        <f aca="false">IF(OR(E97="",F97="",G97=""),"",10*(E97-1)+10*(G97-1)+10*(2-MIN(F97,2)))</f>
        <v/>
      </c>
      <c r="O97" s="14" t="n">
        <f aca="false">IF(AND(N97&lt;&gt;"",I97&lt;&gt;""),1,0)</f>
        <v>0</v>
      </c>
      <c r="P97" s="14" t="str">
        <f aca="false">IF(N97="","",IF(N97&lt;Ngưỡng!$B$4,1,0))</f>
        <v/>
      </c>
      <c r="Q97" s="14" t="str">
        <f aca="false">IF(I97="","",IF(I97&gt;=Ngưỡng!$B$5,1,0))</f>
        <v/>
      </c>
      <c r="R97" s="14" t="str">
        <f aca="false">IF(H97="","",IF(H97&lt;&gt;"Yên",1,0))</f>
        <v/>
      </c>
      <c r="S97" s="14" t="str">
        <f aca="false">IF(K97="","",IF(K97&gt;Ngưỡng!$B$6,1,0))</f>
        <v/>
      </c>
      <c r="T97" s="14" t="str">
        <f aca="false">IF(N97="","",IF(N97&gt;=Ngưỡng!$B$3,1,0))</f>
        <v/>
      </c>
      <c r="U97" s="14" t="n">
        <f aca="false">IF(I97=5,U96+1,0)</f>
        <v>0</v>
      </c>
      <c r="V97" s="14" t="n">
        <f aca="false">IF(AND(F97&lt;&gt;"",F97&gt;=2),V96+1,0)</f>
        <v>0</v>
      </c>
      <c r="W97" s="14" t="n">
        <f aca="false">IF(O97=0,W96+1,0)</f>
        <v>12</v>
      </c>
      <c r="X97" s="14" t="str">
        <f aca="false">IF(OR(E97="",F97=""),"",ROUND((10*(E97-1)+10*(2-MIN(F97,2)))/60*100,0))</f>
        <v/>
      </c>
    </row>
    <row r="98" customFormat="false" ht="15" hidden="false" customHeight="false" outlineLevel="0" collapsed="false">
      <c r="A98" s="4" t="s">
        <v>87</v>
      </c>
      <c r="B98" s="4" t="n">
        <v>13</v>
      </c>
      <c r="C98" s="4" t="n">
        <f aca="false">IF(B98&lt;=7,1,2)</f>
        <v>2</v>
      </c>
      <c r="D98" s="15"/>
      <c r="E98" s="15"/>
      <c r="F98" s="15"/>
      <c r="G98" s="15"/>
      <c r="H98" s="15"/>
      <c r="I98" s="15"/>
      <c r="J98" s="15"/>
      <c r="K98" s="16"/>
      <c r="L98" s="16"/>
      <c r="M98" s="15"/>
      <c r="N98" s="14" t="str">
        <f aca="false">IF(OR(E98="",F98="",G98=""),"",10*(E98-1)+10*(G98-1)+10*(2-MIN(F98,2)))</f>
        <v/>
      </c>
      <c r="O98" s="14" t="n">
        <f aca="false">IF(AND(N98&lt;&gt;"",I98&lt;&gt;""),1,0)</f>
        <v>0</v>
      </c>
      <c r="P98" s="14" t="str">
        <f aca="false">IF(N98="","",IF(N98&lt;Ngưỡng!$B$4,1,0))</f>
        <v/>
      </c>
      <c r="Q98" s="14" t="str">
        <f aca="false">IF(I98="","",IF(I98&gt;=Ngưỡng!$B$5,1,0))</f>
        <v/>
      </c>
      <c r="R98" s="14" t="str">
        <f aca="false">IF(H98="","",IF(H98&lt;&gt;"Yên",1,0))</f>
        <v/>
      </c>
      <c r="S98" s="14" t="str">
        <f aca="false">IF(K98="","",IF(K98&gt;Ngưỡng!$B$6,1,0))</f>
        <v/>
      </c>
      <c r="T98" s="14" t="str">
        <f aca="false">IF(N98="","",IF(N98&gt;=Ngưỡng!$B$3,1,0))</f>
        <v/>
      </c>
      <c r="U98" s="14" t="n">
        <f aca="false">IF(I98=5,U97+1,0)</f>
        <v>0</v>
      </c>
      <c r="V98" s="14" t="n">
        <f aca="false">IF(AND(F98&lt;&gt;"",F98&gt;=2),V97+1,0)</f>
        <v>0</v>
      </c>
      <c r="W98" s="14" t="n">
        <f aca="false">IF(O98=0,W97+1,0)</f>
        <v>13</v>
      </c>
      <c r="X98" s="14" t="str">
        <f aca="false">IF(OR(E98="",F98=""),"",ROUND((10*(E98-1)+10*(2-MIN(F98,2)))/60*100,0))</f>
        <v/>
      </c>
    </row>
    <row r="99" customFormat="false" ht="15" hidden="false" customHeight="false" outlineLevel="0" collapsed="false">
      <c r="A99" s="4" t="s">
        <v>87</v>
      </c>
      <c r="B99" s="4" t="n">
        <v>14</v>
      </c>
      <c r="C99" s="4" t="n">
        <f aca="false">IF(B99&lt;=7,1,2)</f>
        <v>2</v>
      </c>
      <c r="D99" s="15"/>
      <c r="E99" s="15"/>
      <c r="F99" s="15"/>
      <c r="G99" s="15"/>
      <c r="H99" s="15"/>
      <c r="I99" s="15"/>
      <c r="J99" s="15"/>
      <c r="K99" s="16"/>
      <c r="L99" s="16"/>
      <c r="M99" s="15"/>
      <c r="N99" s="14" t="str">
        <f aca="false">IF(OR(E99="",F99="",G99=""),"",10*(E99-1)+10*(G99-1)+10*(2-MIN(F99,2)))</f>
        <v/>
      </c>
      <c r="O99" s="14" t="n">
        <f aca="false">IF(AND(N99&lt;&gt;"",I99&lt;&gt;""),1,0)</f>
        <v>0</v>
      </c>
      <c r="P99" s="14" t="str">
        <f aca="false">IF(N99="","",IF(N99&lt;Ngưỡng!$B$4,1,0))</f>
        <v/>
      </c>
      <c r="Q99" s="14" t="str">
        <f aca="false">IF(I99="","",IF(I99&gt;=Ngưỡng!$B$5,1,0))</f>
        <v/>
      </c>
      <c r="R99" s="14" t="str">
        <f aca="false">IF(H99="","",IF(H99&lt;&gt;"Yên",1,0))</f>
        <v/>
      </c>
      <c r="S99" s="14" t="str">
        <f aca="false">IF(K99="","",IF(K99&gt;Ngưỡng!$B$6,1,0))</f>
        <v/>
      </c>
      <c r="T99" s="14" t="str">
        <f aca="false">IF(N99="","",IF(N99&gt;=Ngưỡng!$B$3,1,0))</f>
        <v/>
      </c>
      <c r="U99" s="14" t="n">
        <f aca="false">IF(I99=5,U98+1,0)</f>
        <v>0</v>
      </c>
      <c r="V99" s="14" t="n">
        <f aca="false">IF(AND(F99&lt;&gt;"",F99&gt;=2),V98+1,0)</f>
        <v>0</v>
      </c>
      <c r="W99" s="14" t="n">
        <f aca="false">IF(O99=0,W98+1,0)</f>
        <v>14</v>
      </c>
      <c r="X99" s="14" t="str">
        <f aca="false">IF(OR(E99="",F99=""),"",ROUND((10*(E99-1)+10*(2-MIN(F99,2)))/60*100,0))</f>
        <v/>
      </c>
    </row>
    <row r="100" customFormat="false" ht="15" hidden="false" customHeight="false" outlineLevel="0" collapsed="false">
      <c r="A100" s="4" t="s">
        <v>88</v>
      </c>
      <c r="B100" s="4" t="n">
        <v>1</v>
      </c>
      <c r="C100" s="4" t="n">
        <f aca="false">IF(B100&lt;=7,1,2)</f>
        <v>1</v>
      </c>
      <c r="D100" s="15"/>
      <c r="E100" s="15"/>
      <c r="F100" s="15"/>
      <c r="G100" s="15"/>
      <c r="H100" s="15"/>
      <c r="I100" s="15"/>
      <c r="J100" s="15"/>
      <c r="K100" s="16"/>
      <c r="L100" s="16"/>
      <c r="M100" s="15"/>
      <c r="N100" s="14" t="str">
        <f aca="false">IF(OR(E100="",F100="",G100=""),"",10*(E100-1)+10*(G100-1)+10*(2-MIN(F100,2)))</f>
        <v/>
      </c>
      <c r="O100" s="14" t="n">
        <f aca="false">IF(AND(N100&lt;&gt;"",I100&lt;&gt;""),1,0)</f>
        <v>0</v>
      </c>
      <c r="P100" s="14" t="str">
        <f aca="false">IF(N100="","",IF(N100&lt;Ngưỡng!$B$4,1,0))</f>
        <v/>
      </c>
      <c r="Q100" s="14" t="str">
        <f aca="false">IF(I100="","",IF(I100&gt;=Ngưỡng!$B$5,1,0))</f>
        <v/>
      </c>
      <c r="R100" s="14" t="str">
        <f aca="false">IF(H100="","",IF(H100&lt;&gt;"Yên",1,0))</f>
        <v/>
      </c>
      <c r="S100" s="14" t="str">
        <f aca="false">IF(K100="","",IF(K100&gt;Ngưỡng!$B$6,1,0))</f>
        <v/>
      </c>
      <c r="T100" s="14" t="str">
        <f aca="false">IF(N100="","",IF(N100&gt;=Ngưỡng!$B$3,1,0))</f>
        <v/>
      </c>
      <c r="U100" s="14" t="n">
        <f aca="false">IF(I100=5,0+1,0)</f>
        <v>0</v>
      </c>
      <c r="V100" s="14" t="n">
        <f aca="false">IF(AND(F100&lt;&gt;"",F100&gt;=2),0+1,0)</f>
        <v>0</v>
      </c>
      <c r="W100" s="14" t="n">
        <f aca="false">IF(O100=0,0+1,0)</f>
        <v>1</v>
      </c>
      <c r="X100" s="14" t="str">
        <f aca="false">IF(OR(E100="",F100=""),"",ROUND((10*(E100-1)+10*(2-MIN(F100,2)))/60*100,0))</f>
        <v/>
      </c>
    </row>
    <row r="101" customFormat="false" ht="15" hidden="false" customHeight="false" outlineLevel="0" collapsed="false">
      <c r="A101" s="4" t="s">
        <v>88</v>
      </c>
      <c r="B101" s="4" t="n">
        <v>2</v>
      </c>
      <c r="C101" s="4" t="n">
        <f aca="false">IF(B101&lt;=7,1,2)</f>
        <v>1</v>
      </c>
      <c r="D101" s="15"/>
      <c r="E101" s="15"/>
      <c r="F101" s="15"/>
      <c r="G101" s="15"/>
      <c r="H101" s="15"/>
      <c r="I101" s="15"/>
      <c r="J101" s="15"/>
      <c r="K101" s="16"/>
      <c r="L101" s="16"/>
      <c r="M101" s="15"/>
      <c r="N101" s="14" t="str">
        <f aca="false">IF(OR(E101="",F101="",G101=""),"",10*(E101-1)+10*(G101-1)+10*(2-MIN(F101,2)))</f>
        <v/>
      </c>
      <c r="O101" s="14" t="n">
        <f aca="false">IF(AND(N101&lt;&gt;"",I101&lt;&gt;""),1,0)</f>
        <v>0</v>
      </c>
      <c r="P101" s="14" t="str">
        <f aca="false">IF(N101="","",IF(N101&lt;Ngưỡng!$B$4,1,0))</f>
        <v/>
      </c>
      <c r="Q101" s="14" t="str">
        <f aca="false">IF(I101="","",IF(I101&gt;=Ngưỡng!$B$5,1,0))</f>
        <v/>
      </c>
      <c r="R101" s="14" t="str">
        <f aca="false">IF(H101="","",IF(H101&lt;&gt;"Yên",1,0))</f>
        <v/>
      </c>
      <c r="S101" s="14" t="str">
        <f aca="false">IF(K101="","",IF(K101&gt;Ngưỡng!$B$6,1,0))</f>
        <v/>
      </c>
      <c r="T101" s="14" t="str">
        <f aca="false">IF(N101="","",IF(N101&gt;=Ngưỡng!$B$3,1,0))</f>
        <v/>
      </c>
      <c r="U101" s="14" t="n">
        <f aca="false">IF(I101=5,U100+1,0)</f>
        <v>0</v>
      </c>
      <c r="V101" s="14" t="n">
        <f aca="false">IF(AND(F101&lt;&gt;"",F101&gt;=2),V100+1,0)</f>
        <v>0</v>
      </c>
      <c r="W101" s="14" t="n">
        <f aca="false">IF(O101=0,W100+1,0)</f>
        <v>2</v>
      </c>
      <c r="X101" s="14" t="str">
        <f aca="false">IF(OR(E101="",F101=""),"",ROUND((10*(E101-1)+10*(2-MIN(F101,2)))/60*100,0))</f>
        <v/>
      </c>
    </row>
    <row r="102" customFormat="false" ht="15" hidden="false" customHeight="false" outlineLevel="0" collapsed="false">
      <c r="A102" s="4" t="s">
        <v>88</v>
      </c>
      <c r="B102" s="4" t="n">
        <v>3</v>
      </c>
      <c r="C102" s="4" t="n">
        <f aca="false">IF(B102&lt;=7,1,2)</f>
        <v>1</v>
      </c>
      <c r="D102" s="15"/>
      <c r="E102" s="15"/>
      <c r="F102" s="15"/>
      <c r="G102" s="15"/>
      <c r="H102" s="15"/>
      <c r="I102" s="15"/>
      <c r="J102" s="15"/>
      <c r="K102" s="16"/>
      <c r="L102" s="16"/>
      <c r="M102" s="15"/>
      <c r="N102" s="14" t="str">
        <f aca="false">IF(OR(E102="",F102="",G102=""),"",10*(E102-1)+10*(G102-1)+10*(2-MIN(F102,2)))</f>
        <v/>
      </c>
      <c r="O102" s="14" t="n">
        <f aca="false">IF(AND(N102&lt;&gt;"",I102&lt;&gt;""),1,0)</f>
        <v>0</v>
      </c>
      <c r="P102" s="14" t="str">
        <f aca="false">IF(N102="","",IF(N102&lt;Ngưỡng!$B$4,1,0))</f>
        <v/>
      </c>
      <c r="Q102" s="14" t="str">
        <f aca="false">IF(I102="","",IF(I102&gt;=Ngưỡng!$B$5,1,0))</f>
        <v/>
      </c>
      <c r="R102" s="14" t="str">
        <f aca="false">IF(H102="","",IF(H102&lt;&gt;"Yên",1,0))</f>
        <v/>
      </c>
      <c r="S102" s="14" t="str">
        <f aca="false">IF(K102="","",IF(K102&gt;Ngưỡng!$B$6,1,0))</f>
        <v/>
      </c>
      <c r="T102" s="14" t="str">
        <f aca="false">IF(N102="","",IF(N102&gt;=Ngưỡng!$B$3,1,0))</f>
        <v/>
      </c>
      <c r="U102" s="14" t="n">
        <f aca="false">IF(I102=5,U101+1,0)</f>
        <v>0</v>
      </c>
      <c r="V102" s="14" t="n">
        <f aca="false">IF(AND(F102&lt;&gt;"",F102&gt;=2),V101+1,0)</f>
        <v>0</v>
      </c>
      <c r="W102" s="14" t="n">
        <f aca="false">IF(O102=0,W101+1,0)</f>
        <v>3</v>
      </c>
      <c r="X102" s="14" t="str">
        <f aca="false">IF(OR(E102="",F102=""),"",ROUND((10*(E102-1)+10*(2-MIN(F102,2)))/60*100,0))</f>
        <v/>
      </c>
    </row>
    <row r="103" customFormat="false" ht="15" hidden="false" customHeight="false" outlineLevel="0" collapsed="false">
      <c r="A103" s="4" t="s">
        <v>88</v>
      </c>
      <c r="B103" s="4" t="n">
        <v>4</v>
      </c>
      <c r="C103" s="4" t="n">
        <f aca="false">IF(B103&lt;=7,1,2)</f>
        <v>1</v>
      </c>
      <c r="D103" s="15"/>
      <c r="E103" s="15"/>
      <c r="F103" s="15"/>
      <c r="G103" s="15"/>
      <c r="H103" s="15"/>
      <c r="I103" s="15"/>
      <c r="J103" s="15"/>
      <c r="K103" s="16"/>
      <c r="L103" s="16"/>
      <c r="M103" s="15"/>
      <c r="N103" s="14" t="str">
        <f aca="false">IF(OR(E103="",F103="",G103=""),"",10*(E103-1)+10*(G103-1)+10*(2-MIN(F103,2)))</f>
        <v/>
      </c>
      <c r="O103" s="14" t="n">
        <f aca="false">IF(AND(N103&lt;&gt;"",I103&lt;&gt;""),1,0)</f>
        <v>0</v>
      </c>
      <c r="P103" s="14" t="str">
        <f aca="false">IF(N103="","",IF(N103&lt;Ngưỡng!$B$4,1,0))</f>
        <v/>
      </c>
      <c r="Q103" s="14" t="str">
        <f aca="false">IF(I103="","",IF(I103&gt;=Ngưỡng!$B$5,1,0))</f>
        <v/>
      </c>
      <c r="R103" s="14" t="str">
        <f aca="false">IF(H103="","",IF(H103&lt;&gt;"Yên",1,0))</f>
        <v/>
      </c>
      <c r="S103" s="14" t="str">
        <f aca="false">IF(K103="","",IF(K103&gt;Ngưỡng!$B$6,1,0))</f>
        <v/>
      </c>
      <c r="T103" s="14" t="str">
        <f aca="false">IF(N103="","",IF(N103&gt;=Ngưỡng!$B$3,1,0))</f>
        <v/>
      </c>
      <c r="U103" s="14" t="n">
        <f aca="false">IF(I103=5,U102+1,0)</f>
        <v>0</v>
      </c>
      <c r="V103" s="14" t="n">
        <f aca="false">IF(AND(F103&lt;&gt;"",F103&gt;=2),V102+1,0)</f>
        <v>0</v>
      </c>
      <c r="W103" s="14" t="n">
        <f aca="false">IF(O103=0,W102+1,0)</f>
        <v>4</v>
      </c>
      <c r="X103" s="14" t="str">
        <f aca="false">IF(OR(E103="",F103=""),"",ROUND((10*(E103-1)+10*(2-MIN(F103,2)))/60*100,0))</f>
        <v/>
      </c>
    </row>
    <row r="104" customFormat="false" ht="15" hidden="false" customHeight="false" outlineLevel="0" collapsed="false">
      <c r="A104" s="4" t="s">
        <v>88</v>
      </c>
      <c r="B104" s="4" t="n">
        <v>5</v>
      </c>
      <c r="C104" s="4" t="n">
        <f aca="false">IF(B104&lt;=7,1,2)</f>
        <v>1</v>
      </c>
      <c r="D104" s="15"/>
      <c r="E104" s="15"/>
      <c r="F104" s="15"/>
      <c r="G104" s="15"/>
      <c r="H104" s="15"/>
      <c r="I104" s="15"/>
      <c r="J104" s="15"/>
      <c r="K104" s="16"/>
      <c r="L104" s="16"/>
      <c r="M104" s="15"/>
      <c r="N104" s="14" t="str">
        <f aca="false">IF(OR(E104="",F104="",G104=""),"",10*(E104-1)+10*(G104-1)+10*(2-MIN(F104,2)))</f>
        <v/>
      </c>
      <c r="O104" s="14" t="n">
        <f aca="false">IF(AND(N104&lt;&gt;"",I104&lt;&gt;""),1,0)</f>
        <v>0</v>
      </c>
      <c r="P104" s="14" t="str">
        <f aca="false">IF(N104="","",IF(N104&lt;Ngưỡng!$B$4,1,0))</f>
        <v/>
      </c>
      <c r="Q104" s="14" t="str">
        <f aca="false">IF(I104="","",IF(I104&gt;=Ngưỡng!$B$5,1,0))</f>
        <v/>
      </c>
      <c r="R104" s="14" t="str">
        <f aca="false">IF(H104="","",IF(H104&lt;&gt;"Yên",1,0))</f>
        <v/>
      </c>
      <c r="S104" s="14" t="str">
        <f aca="false">IF(K104="","",IF(K104&gt;Ngưỡng!$B$6,1,0))</f>
        <v/>
      </c>
      <c r="T104" s="14" t="str">
        <f aca="false">IF(N104="","",IF(N104&gt;=Ngưỡng!$B$3,1,0))</f>
        <v/>
      </c>
      <c r="U104" s="14" t="n">
        <f aca="false">IF(I104=5,U103+1,0)</f>
        <v>0</v>
      </c>
      <c r="V104" s="14" t="n">
        <f aca="false">IF(AND(F104&lt;&gt;"",F104&gt;=2),V103+1,0)</f>
        <v>0</v>
      </c>
      <c r="W104" s="14" t="n">
        <f aca="false">IF(O104=0,W103+1,0)</f>
        <v>5</v>
      </c>
      <c r="X104" s="14" t="str">
        <f aca="false">IF(OR(E104="",F104=""),"",ROUND((10*(E104-1)+10*(2-MIN(F104,2)))/60*100,0))</f>
        <v/>
      </c>
    </row>
    <row r="105" customFormat="false" ht="15" hidden="false" customHeight="false" outlineLevel="0" collapsed="false">
      <c r="A105" s="4" t="s">
        <v>88</v>
      </c>
      <c r="B105" s="4" t="n">
        <v>6</v>
      </c>
      <c r="C105" s="4" t="n">
        <f aca="false">IF(B105&lt;=7,1,2)</f>
        <v>1</v>
      </c>
      <c r="D105" s="15"/>
      <c r="E105" s="15"/>
      <c r="F105" s="15"/>
      <c r="G105" s="15"/>
      <c r="H105" s="15"/>
      <c r="I105" s="15"/>
      <c r="J105" s="15"/>
      <c r="K105" s="16"/>
      <c r="L105" s="16"/>
      <c r="M105" s="15"/>
      <c r="N105" s="14" t="str">
        <f aca="false">IF(OR(E105="",F105="",G105=""),"",10*(E105-1)+10*(G105-1)+10*(2-MIN(F105,2)))</f>
        <v/>
      </c>
      <c r="O105" s="14" t="n">
        <f aca="false">IF(AND(N105&lt;&gt;"",I105&lt;&gt;""),1,0)</f>
        <v>0</v>
      </c>
      <c r="P105" s="14" t="str">
        <f aca="false">IF(N105="","",IF(N105&lt;Ngưỡng!$B$4,1,0))</f>
        <v/>
      </c>
      <c r="Q105" s="14" t="str">
        <f aca="false">IF(I105="","",IF(I105&gt;=Ngưỡng!$B$5,1,0))</f>
        <v/>
      </c>
      <c r="R105" s="14" t="str">
        <f aca="false">IF(H105="","",IF(H105&lt;&gt;"Yên",1,0))</f>
        <v/>
      </c>
      <c r="S105" s="14" t="str">
        <f aca="false">IF(K105="","",IF(K105&gt;Ngưỡng!$B$6,1,0))</f>
        <v/>
      </c>
      <c r="T105" s="14" t="str">
        <f aca="false">IF(N105="","",IF(N105&gt;=Ngưỡng!$B$3,1,0))</f>
        <v/>
      </c>
      <c r="U105" s="14" t="n">
        <f aca="false">IF(I105=5,U104+1,0)</f>
        <v>0</v>
      </c>
      <c r="V105" s="14" t="n">
        <f aca="false">IF(AND(F105&lt;&gt;"",F105&gt;=2),V104+1,0)</f>
        <v>0</v>
      </c>
      <c r="W105" s="14" t="n">
        <f aca="false">IF(O105=0,W104+1,0)</f>
        <v>6</v>
      </c>
      <c r="X105" s="14" t="str">
        <f aca="false">IF(OR(E105="",F105=""),"",ROUND((10*(E105-1)+10*(2-MIN(F105,2)))/60*100,0))</f>
        <v/>
      </c>
    </row>
    <row r="106" customFormat="false" ht="15" hidden="false" customHeight="false" outlineLevel="0" collapsed="false">
      <c r="A106" s="4" t="s">
        <v>88</v>
      </c>
      <c r="B106" s="4" t="n">
        <v>7</v>
      </c>
      <c r="C106" s="4" t="n">
        <f aca="false">IF(B106&lt;=7,1,2)</f>
        <v>1</v>
      </c>
      <c r="D106" s="15"/>
      <c r="E106" s="15"/>
      <c r="F106" s="15"/>
      <c r="G106" s="15"/>
      <c r="H106" s="15"/>
      <c r="I106" s="15"/>
      <c r="J106" s="15"/>
      <c r="K106" s="16"/>
      <c r="L106" s="16"/>
      <c r="M106" s="15"/>
      <c r="N106" s="14" t="str">
        <f aca="false">IF(OR(E106="",F106="",G106=""),"",10*(E106-1)+10*(G106-1)+10*(2-MIN(F106,2)))</f>
        <v/>
      </c>
      <c r="O106" s="14" t="n">
        <f aca="false">IF(AND(N106&lt;&gt;"",I106&lt;&gt;""),1,0)</f>
        <v>0</v>
      </c>
      <c r="P106" s="14" t="str">
        <f aca="false">IF(N106="","",IF(N106&lt;Ngưỡng!$B$4,1,0))</f>
        <v/>
      </c>
      <c r="Q106" s="14" t="str">
        <f aca="false">IF(I106="","",IF(I106&gt;=Ngưỡng!$B$5,1,0))</f>
        <v/>
      </c>
      <c r="R106" s="14" t="str">
        <f aca="false">IF(H106="","",IF(H106&lt;&gt;"Yên",1,0))</f>
        <v/>
      </c>
      <c r="S106" s="14" t="str">
        <f aca="false">IF(K106="","",IF(K106&gt;Ngưỡng!$B$6,1,0))</f>
        <v/>
      </c>
      <c r="T106" s="14" t="str">
        <f aca="false">IF(N106="","",IF(N106&gt;=Ngưỡng!$B$3,1,0))</f>
        <v/>
      </c>
      <c r="U106" s="14" t="n">
        <f aca="false">IF(I106=5,U105+1,0)</f>
        <v>0</v>
      </c>
      <c r="V106" s="14" t="n">
        <f aca="false">IF(AND(F106&lt;&gt;"",F106&gt;=2),V105+1,0)</f>
        <v>0</v>
      </c>
      <c r="W106" s="14" t="n">
        <f aca="false">IF(O106=0,W105+1,0)</f>
        <v>7</v>
      </c>
      <c r="X106" s="14" t="str">
        <f aca="false">IF(OR(E106="",F106=""),"",ROUND((10*(E106-1)+10*(2-MIN(F106,2)))/60*100,0))</f>
        <v/>
      </c>
    </row>
    <row r="107" customFormat="false" ht="15" hidden="false" customHeight="false" outlineLevel="0" collapsed="false">
      <c r="A107" s="4" t="s">
        <v>88</v>
      </c>
      <c r="B107" s="4" t="n">
        <v>8</v>
      </c>
      <c r="C107" s="4" t="n">
        <f aca="false">IF(B107&lt;=7,1,2)</f>
        <v>2</v>
      </c>
      <c r="D107" s="15"/>
      <c r="E107" s="15"/>
      <c r="F107" s="15"/>
      <c r="G107" s="15"/>
      <c r="H107" s="15"/>
      <c r="I107" s="15"/>
      <c r="J107" s="15"/>
      <c r="K107" s="16"/>
      <c r="L107" s="16"/>
      <c r="M107" s="15"/>
      <c r="N107" s="14" t="str">
        <f aca="false">IF(OR(E107="",F107="",G107=""),"",10*(E107-1)+10*(G107-1)+10*(2-MIN(F107,2)))</f>
        <v/>
      </c>
      <c r="O107" s="14" t="n">
        <f aca="false">IF(AND(N107&lt;&gt;"",I107&lt;&gt;""),1,0)</f>
        <v>0</v>
      </c>
      <c r="P107" s="14" t="str">
        <f aca="false">IF(N107="","",IF(N107&lt;Ngưỡng!$B$4,1,0))</f>
        <v/>
      </c>
      <c r="Q107" s="14" t="str">
        <f aca="false">IF(I107="","",IF(I107&gt;=Ngưỡng!$B$5,1,0))</f>
        <v/>
      </c>
      <c r="R107" s="14" t="str">
        <f aca="false">IF(H107="","",IF(H107&lt;&gt;"Yên",1,0))</f>
        <v/>
      </c>
      <c r="S107" s="14" t="str">
        <f aca="false">IF(K107="","",IF(K107&gt;Ngưỡng!$B$6,1,0))</f>
        <v/>
      </c>
      <c r="T107" s="14" t="str">
        <f aca="false">IF(N107="","",IF(N107&gt;=Ngưỡng!$B$3,1,0))</f>
        <v/>
      </c>
      <c r="U107" s="14" t="n">
        <f aca="false">IF(I107=5,U106+1,0)</f>
        <v>0</v>
      </c>
      <c r="V107" s="14" t="n">
        <f aca="false">IF(AND(F107&lt;&gt;"",F107&gt;=2),V106+1,0)</f>
        <v>0</v>
      </c>
      <c r="W107" s="14" t="n">
        <f aca="false">IF(O107=0,W106+1,0)</f>
        <v>8</v>
      </c>
      <c r="X107" s="14" t="str">
        <f aca="false">IF(OR(E107="",F107=""),"",ROUND((10*(E107-1)+10*(2-MIN(F107,2)))/60*100,0))</f>
        <v/>
      </c>
    </row>
    <row r="108" customFormat="false" ht="15" hidden="false" customHeight="false" outlineLevel="0" collapsed="false">
      <c r="A108" s="4" t="s">
        <v>88</v>
      </c>
      <c r="B108" s="4" t="n">
        <v>9</v>
      </c>
      <c r="C108" s="4" t="n">
        <f aca="false">IF(B108&lt;=7,1,2)</f>
        <v>2</v>
      </c>
      <c r="D108" s="15"/>
      <c r="E108" s="15"/>
      <c r="F108" s="15"/>
      <c r="G108" s="15"/>
      <c r="H108" s="15"/>
      <c r="I108" s="15"/>
      <c r="J108" s="15"/>
      <c r="K108" s="16"/>
      <c r="L108" s="16"/>
      <c r="M108" s="15"/>
      <c r="N108" s="14" t="str">
        <f aca="false">IF(OR(E108="",F108="",G108=""),"",10*(E108-1)+10*(G108-1)+10*(2-MIN(F108,2)))</f>
        <v/>
      </c>
      <c r="O108" s="14" t="n">
        <f aca="false">IF(AND(N108&lt;&gt;"",I108&lt;&gt;""),1,0)</f>
        <v>0</v>
      </c>
      <c r="P108" s="14" t="str">
        <f aca="false">IF(N108="","",IF(N108&lt;Ngưỡng!$B$4,1,0))</f>
        <v/>
      </c>
      <c r="Q108" s="14" t="str">
        <f aca="false">IF(I108="","",IF(I108&gt;=Ngưỡng!$B$5,1,0))</f>
        <v/>
      </c>
      <c r="R108" s="14" t="str">
        <f aca="false">IF(H108="","",IF(H108&lt;&gt;"Yên",1,0))</f>
        <v/>
      </c>
      <c r="S108" s="14" t="str">
        <f aca="false">IF(K108="","",IF(K108&gt;Ngưỡng!$B$6,1,0))</f>
        <v/>
      </c>
      <c r="T108" s="14" t="str">
        <f aca="false">IF(N108="","",IF(N108&gt;=Ngưỡng!$B$3,1,0))</f>
        <v/>
      </c>
      <c r="U108" s="14" t="n">
        <f aca="false">IF(I108=5,U107+1,0)</f>
        <v>0</v>
      </c>
      <c r="V108" s="14" t="n">
        <f aca="false">IF(AND(F108&lt;&gt;"",F108&gt;=2),V107+1,0)</f>
        <v>0</v>
      </c>
      <c r="W108" s="14" t="n">
        <f aca="false">IF(O108=0,W107+1,0)</f>
        <v>9</v>
      </c>
      <c r="X108" s="14" t="str">
        <f aca="false">IF(OR(E108="",F108=""),"",ROUND((10*(E108-1)+10*(2-MIN(F108,2)))/60*100,0))</f>
        <v/>
      </c>
    </row>
    <row r="109" customFormat="false" ht="15" hidden="false" customHeight="false" outlineLevel="0" collapsed="false">
      <c r="A109" s="4" t="s">
        <v>88</v>
      </c>
      <c r="B109" s="4" t="n">
        <v>10</v>
      </c>
      <c r="C109" s="4" t="n">
        <f aca="false">IF(B109&lt;=7,1,2)</f>
        <v>2</v>
      </c>
      <c r="D109" s="15"/>
      <c r="E109" s="15"/>
      <c r="F109" s="15"/>
      <c r="G109" s="15"/>
      <c r="H109" s="15"/>
      <c r="I109" s="15"/>
      <c r="J109" s="15"/>
      <c r="K109" s="16"/>
      <c r="L109" s="16"/>
      <c r="M109" s="15"/>
      <c r="N109" s="14" t="str">
        <f aca="false">IF(OR(E109="",F109="",G109=""),"",10*(E109-1)+10*(G109-1)+10*(2-MIN(F109,2)))</f>
        <v/>
      </c>
      <c r="O109" s="14" t="n">
        <f aca="false">IF(AND(N109&lt;&gt;"",I109&lt;&gt;""),1,0)</f>
        <v>0</v>
      </c>
      <c r="P109" s="14" t="str">
        <f aca="false">IF(N109="","",IF(N109&lt;Ngưỡng!$B$4,1,0))</f>
        <v/>
      </c>
      <c r="Q109" s="14" t="str">
        <f aca="false">IF(I109="","",IF(I109&gt;=Ngưỡng!$B$5,1,0))</f>
        <v/>
      </c>
      <c r="R109" s="14" t="str">
        <f aca="false">IF(H109="","",IF(H109&lt;&gt;"Yên",1,0))</f>
        <v/>
      </c>
      <c r="S109" s="14" t="str">
        <f aca="false">IF(K109="","",IF(K109&gt;Ngưỡng!$B$6,1,0))</f>
        <v/>
      </c>
      <c r="T109" s="14" t="str">
        <f aca="false">IF(N109="","",IF(N109&gt;=Ngưỡng!$B$3,1,0))</f>
        <v/>
      </c>
      <c r="U109" s="14" t="n">
        <f aca="false">IF(I109=5,U108+1,0)</f>
        <v>0</v>
      </c>
      <c r="V109" s="14" t="n">
        <f aca="false">IF(AND(F109&lt;&gt;"",F109&gt;=2),V108+1,0)</f>
        <v>0</v>
      </c>
      <c r="W109" s="14" t="n">
        <f aca="false">IF(O109=0,W108+1,0)</f>
        <v>10</v>
      </c>
      <c r="X109" s="14" t="str">
        <f aca="false">IF(OR(E109="",F109=""),"",ROUND((10*(E109-1)+10*(2-MIN(F109,2)))/60*100,0))</f>
        <v/>
      </c>
    </row>
    <row r="110" customFormat="false" ht="15" hidden="false" customHeight="false" outlineLevel="0" collapsed="false">
      <c r="A110" s="4" t="s">
        <v>88</v>
      </c>
      <c r="B110" s="4" t="n">
        <v>11</v>
      </c>
      <c r="C110" s="4" t="n">
        <f aca="false">IF(B110&lt;=7,1,2)</f>
        <v>2</v>
      </c>
      <c r="D110" s="15"/>
      <c r="E110" s="15"/>
      <c r="F110" s="15"/>
      <c r="G110" s="15"/>
      <c r="H110" s="15"/>
      <c r="I110" s="15"/>
      <c r="J110" s="15"/>
      <c r="K110" s="16"/>
      <c r="L110" s="16"/>
      <c r="M110" s="15"/>
      <c r="N110" s="14" t="str">
        <f aca="false">IF(OR(E110="",F110="",G110=""),"",10*(E110-1)+10*(G110-1)+10*(2-MIN(F110,2)))</f>
        <v/>
      </c>
      <c r="O110" s="14" t="n">
        <f aca="false">IF(AND(N110&lt;&gt;"",I110&lt;&gt;""),1,0)</f>
        <v>0</v>
      </c>
      <c r="P110" s="14" t="str">
        <f aca="false">IF(N110="","",IF(N110&lt;Ngưỡng!$B$4,1,0))</f>
        <v/>
      </c>
      <c r="Q110" s="14" t="str">
        <f aca="false">IF(I110="","",IF(I110&gt;=Ngưỡng!$B$5,1,0))</f>
        <v/>
      </c>
      <c r="R110" s="14" t="str">
        <f aca="false">IF(H110="","",IF(H110&lt;&gt;"Yên",1,0))</f>
        <v/>
      </c>
      <c r="S110" s="14" t="str">
        <f aca="false">IF(K110="","",IF(K110&gt;Ngưỡng!$B$6,1,0))</f>
        <v/>
      </c>
      <c r="T110" s="14" t="str">
        <f aca="false">IF(N110="","",IF(N110&gt;=Ngưỡng!$B$3,1,0))</f>
        <v/>
      </c>
      <c r="U110" s="14" t="n">
        <f aca="false">IF(I110=5,U109+1,0)</f>
        <v>0</v>
      </c>
      <c r="V110" s="14" t="n">
        <f aca="false">IF(AND(F110&lt;&gt;"",F110&gt;=2),V109+1,0)</f>
        <v>0</v>
      </c>
      <c r="W110" s="14" t="n">
        <f aca="false">IF(O110=0,W109+1,0)</f>
        <v>11</v>
      </c>
      <c r="X110" s="14" t="str">
        <f aca="false">IF(OR(E110="",F110=""),"",ROUND((10*(E110-1)+10*(2-MIN(F110,2)))/60*100,0))</f>
        <v/>
      </c>
    </row>
    <row r="111" customFormat="false" ht="15" hidden="false" customHeight="false" outlineLevel="0" collapsed="false">
      <c r="A111" s="4" t="s">
        <v>88</v>
      </c>
      <c r="B111" s="4" t="n">
        <v>12</v>
      </c>
      <c r="C111" s="4" t="n">
        <f aca="false">IF(B111&lt;=7,1,2)</f>
        <v>2</v>
      </c>
      <c r="D111" s="15"/>
      <c r="E111" s="15"/>
      <c r="F111" s="15"/>
      <c r="G111" s="15"/>
      <c r="H111" s="15"/>
      <c r="I111" s="15"/>
      <c r="J111" s="15"/>
      <c r="K111" s="16"/>
      <c r="L111" s="16"/>
      <c r="M111" s="15"/>
      <c r="N111" s="14" t="str">
        <f aca="false">IF(OR(E111="",F111="",G111=""),"",10*(E111-1)+10*(G111-1)+10*(2-MIN(F111,2)))</f>
        <v/>
      </c>
      <c r="O111" s="14" t="n">
        <f aca="false">IF(AND(N111&lt;&gt;"",I111&lt;&gt;""),1,0)</f>
        <v>0</v>
      </c>
      <c r="P111" s="14" t="str">
        <f aca="false">IF(N111="","",IF(N111&lt;Ngưỡng!$B$4,1,0))</f>
        <v/>
      </c>
      <c r="Q111" s="14" t="str">
        <f aca="false">IF(I111="","",IF(I111&gt;=Ngưỡng!$B$5,1,0))</f>
        <v/>
      </c>
      <c r="R111" s="14" t="str">
        <f aca="false">IF(H111="","",IF(H111&lt;&gt;"Yên",1,0))</f>
        <v/>
      </c>
      <c r="S111" s="14" t="str">
        <f aca="false">IF(K111="","",IF(K111&gt;Ngưỡng!$B$6,1,0))</f>
        <v/>
      </c>
      <c r="T111" s="14" t="str">
        <f aca="false">IF(N111="","",IF(N111&gt;=Ngưỡng!$B$3,1,0))</f>
        <v/>
      </c>
      <c r="U111" s="14" t="n">
        <f aca="false">IF(I111=5,U110+1,0)</f>
        <v>0</v>
      </c>
      <c r="V111" s="14" t="n">
        <f aca="false">IF(AND(F111&lt;&gt;"",F111&gt;=2),V110+1,0)</f>
        <v>0</v>
      </c>
      <c r="W111" s="14" t="n">
        <f aca="false">IF(O111=0,W110+1,0)</f>
        <v>12</v>
      </c>
      <c r="X111" s="14" t="str">
        <f aca="false">IF(OR(E111="",F111=""),"",ROUND((10*(E111-1)+10*(2-MIN(F111,2)))/60*100,0))</f>
        <v/>
      </c>
    </row>
    <row r="112" customFormat="false" ht="15" hidden="false" customHeight="false" outlineLevel="0" collapsed="false">
      <c r="A112" s="4" t="s">
        <v>88</v>
      </c>
      <c r="B112" s="4" t="n">
        <v>13</v>
      </c>
      <c r="C112" s="4" t="n">
        <f aca="false">IF(B112&lt;=7,1,2)</f>
        <v>2</v>
      </c>
      <c r="D112" s="15"/>
      <c r="E112" s="15"/>
      <c r="F112" s="15"/>
      <c r="G112" s="15"/>
      <c r="H112" s="15"/>
      <c r="I112" s="15"/>
      <c r="J112" s="15"/>
      <c r="K112" s="16"/>
      <c r="L112" s="16"/>
      <c r="M112" s="15"/>
      <c r="N112" s="14" t="str">
        <f aca="false">IF(OR(E112="",F112="",G112=""),"",10*(E112-1)+10*(G112-1)+10*(2-MIN(F112,2)))</f>
        <v/>
      </c>
      <c r="O112" s="14" t="n">
        <f aca="false">IF(AND(N112&lt;&gt;"",I112&lt;&gt;""),1,0)</f>
        <v>0</v>
      </c>
      <c r="P112" s="14" t="str">
        <f aca="false">IF(N112="","",IF(N112&lt;Ngưỡng!$B$4,1,0))</f>
        <v/>
      </c>
      <c r="Q112" s="14" t="str">
        <f aca="false">IF(I112="","",IF(I112&gt;=Ngưỡng!$B$5,1,0))</f>
        <v/>
      </c>
      <c r="R112" s="14" t="str">
        <f aca="false">IF(H112="","",IF(H112&lt;&gt;"Yên",1,0))</f>
        <v/>
      </c>
      <c r="S112" s="14" t="str">
        <f aca="false">IF(K112="","",IF(K112&gt;Ngưỡng!$B$6,1,0))</f>
        <v/>
      </c>
      <c r="T112" s="14" t="str">
        <f aca="false">IF(N112="","",IF(N112&gt;=Ngưỡng!$B$3,1,0))</f>
        <v/>
      </c>
      <c r="U112" s="14" t="n">
        <f aca="false">IF(I112=5,U111+1,0)</f>
        <v>0</v>
      </c>
      <c r="V112" s="14" t="n">
        <f aca="false">IF(AND(F112&lt;&gt;"",F112&gt;=2),V111+1,0)</f>
        <v>0</v>
      </c>
      <c r="W112" s="14" t="n">
        <f aca="false">IF(O112=0,W111+1,0)</f>
        <v>13</v>
      </c>
      <c r="X112" s="14" t="str">
        <f aca="false">IF(OR(E112="",F112=""),"",ROUND((10*(E112-1)+10*(2-MIN(F112,2)))/60*100,0))</f>
        <v/>
      </c>
    </row>
    <row r="113" customFormat="false" ht="15" hidden="false" customHeight="false" outlineLevel="0" collapsed="false">
      <c r="A113" s="4" t="s">
        <v>88</v>
      </c>
      <c r="B113" s="4" t="n">
        <v>14</v>
      </c>
      <c r="C113" s="4" t="n">
        <f aca="false">IF(B113&lt;=7,1,2)</f>
        <v>2</v>
      </c>
      <c r="D113" s="15"/>
      <c r="E113" s="15"/>
      <c r="F113" s="15"/>
      <c r="G113" s="15"/>
      <c r="H113" s="15"/>
      <c r="I113" s="15"/>
      <c r="J113" s="15"/>
      <c r="K113" s="16"/>
      <c r="L113" s="16"/>
      <c r="M113" s="15"/>
      <c r="N113" s="14" t="str">
        <f aca="false">IF(OR(E113="",F113="",G113=""),"",10*(E113-1)+10*(G113-1)+10*(2-MIN(F113,2)))</f>
        <v/>
      </c>
      <c r="O113" s="14" t="n">
        <f aca="false">IF(AND(N113&lt;&gt;"",I113&lt;&gt;""),1,0)</f>
        <v>0</v>
      </c>
      <c r="P113" s="14" t="str">
        <f aca="false">IF(N113="","",IF(N113&lt;Ngưỡng!$B$4,1,0))</f>
        <v/>
      </c>
      <c r="Q113" s="14" t="str">
        <f aca="false">IF(I113="","",IF(I113&gt;=Ngưỡng!$B$5,1,0))</f>
        <v/>
      </c>
      <c r="R113" s="14" t="str">
        <f aca="false">IF(H113="","",IF(H113&lt;&gt;"Yên",1,0))</f>
        <v/>
      </c>
      <c r="S113" s="14" t="str">
        <f aca="false">IF(K113="","",IF(K113&gt;Ngưỡng!$B$6,1,0))</f>
        <v/>
      </c>
      <c r="T113" s="14" t="str">
        <f aca="false">IF(N113="","",IF(N113&gt;=Ngưỡng!$B$3,1,0))</f>
        <v/>
      </c>
      <c r="U113" s="14" t="n">
        <f aca="false">IF(I113=5,U112+1,0)</f>
        <v>0</v>
      </c>
      <c r="V113" s="14" t="n">
        <f aca="false">IF(AND(F113&lt;&gt;"",F113&gt;=2),V112+1,0)</f>
        <v>0</v>
      </c>
      <c r="W113" s="14" t="n">
        <f aca="false">IF(O113=0,W112+1,0)</f>
        <v>14</v>
      </c>
      <c r="X113" s="14" t="str">
        <f aca="false">IF(OR(E113="",F113=""),"",ROUND((10*(E113-1)+10*(2-MIN(F113,2)))/60*100,0))</f>
        <v/>
      </c>
    </row>
    <row r="114" customFormat="false" ht="15" hidden="false" customHeight="false" outlineLevel="0" collapsed="false">
      <c r="A114" s="4" t="s">
        <v>89</v>
      </c>
      <c r="B114" s="4" t="n">
        <v>1</v>
      </c>
      <c r="C114" s="4" t="n">
        <f aca="false">IF(B114&lt;=7,1,2)</f>
        <v>1</v>
      </c>
      <c r="D114" s="15"/>
      <c r="E114" s="15"/>
      <c r="F114" s="15"/>
      <c r="G114" s="15"/>
      <c r="H114" s="15"/>
      <c r="I114" s="15"/>
      <c r="J114" s="15"/>
      <c r="K114" s="16"/>
      <c r="L114" s="16"/>
      <c r="M114" s="15"/>
      <c r="N114" s="14" t="str">
        <f aca="false">IF(OR(E114="",F114="",G114=""),"",10*(E114-1)+10*(G114-1)+10*(2-MIN(F114,2)))</f>
        <v/>
      </c>
      <c r="O114" s="14" t="n">
        <f aca="false">IF(AND(N114&lt;&gt;"",I114&lt;&gt;""),1,0)</f>
        <v>0</v>
      </c>
      <c r="P114" s="14" t="str">
        <f aca="false">IF(N114="","",IF(N114&lt;Ngưỡng!$B$4,1,0))</f>
        <v/>
      </c>
      <c r="Q114" s="14" t="str">
        <f aca="false">IF(I114="","",IF(I114&gt;=Ngưỡng!$B$5,1,0))</f>
        <v/>
      </c>
      <c r="R114" s="14" t="str">
        <f aca="false">IF(H114="","",IF(H114&lt;&gt;"Yên",1,0))</f>
        <v/>
      </c>
      <c r="S114" s="14" t="str">
        <f aca="false">IF(K114="","",IF(K114&gt;Ngưỡng!$B$6,1,0))</f>
        <v/>
      </c>
      <c r="T114" s="14" t="str">
        <f aca="false">IF(N114="","",IF(N114&gt;=Ngưỡng!$B$3,1,0))</f>
        <v/>
      </c>
      <c r="U114" s="14" t="n">
        <f aca="false">IF(I114=5,0+1,0)</f>
        <v>0</v>
      </c>
      <c r="V114" s="14" t="n">
        <f aca="false">IF(AND(F114&lt;&gt;"",F114&gt;=2),0+1,0)</f>
        <v>0</v>
      </c>
      <c r="W114" s="14" t="n">
        <f aca="false">IF(O114=0,0+1,0)</f>
        <v>1</v>
      </c>
      <c r="X114" s="14" t="str">
        <f aca="false">IF(OR(E114="",F114=""),"",ROUND((10*(E114-1)+10*(2-MIN(F114,2)))/60*100,0))</f>
        <v/>
      </c>
    </row>
    <row r="115" customFormat="false" ht="15" hidden="false" customHeight="false" outlineLevel="0" collapsed="false">
      <c r="A115" s="4" t="s">
        <v>89</v>
      </c>
      <c r="B115" s="4" t="n">
        <v>2</v>
      </c>
      <c r="C115" s="4" t="n">
        <f aca="false">IF(B115&lt;=7,1,2)</f>
        <v>1</v>
      </c>
      <c r="D115" s="15"/>
      <c r="E115" s="15"/>
      <c r="F115" s="15"/>
      <c r="G115" s="15"/>
      <c r="H115" s="15"/>
      <c r="I115" s="15"/>
      <c r="J115" s="15"/>
      <c r="K115" s="16"/>
      <c r="L115" s="16"/>
      <c r="M115" s="15"/>
      <c r="N115" s="14" t="str">
        <f aca="false">IF(OR(E115="",F115="",G115=""),"",10*(E115-1)+10*(G115-1)+10*(2-MIN(F115,2)))</f>
        <v/>
      </c>
      <c r="O115" s="14" t="n">
        <f aca="false">IF(AND(N115&lt;&gt;"",I115&lt;&gt;""),1,0)</f>
        <v>0</v>
      </c>
      <c r="P115" s="14" t="str">
        <f aca="false">IF(N115="","",IF(N115&lt;Ngưỡng!$B$4,1,0))</f>
        <v/>
      </c>
      <c r="Q115" s="14" t="str">
        <f aca="false">IF(I115="","",IF(I115&gt;=Ngưỡng!$B$5,1,0))</f>
        <v/>
      </c>
      <c r="R115" s="14" t="str">
        <f aca="false">IF(H115="","",IF(H115&lt;&gt;"Yên",1,0))</f>
        <v/>
      </c>
      <c r="S115" s="14" t="str">
        <f aca="false">IF(K115="","",IF(K115&gt;Ngưỡng!$B$6,1,0))</f>
        <v/>
      </c>
      <c r="T115" s="14" t="str">
        <f aca="false">IF(N115="","",IF(N115&gt;=Ngưỡng!$B$3,1,0))</f>
        <v/>
      </c>
      <c r="U115" s="14" t="n">
        <f aca="false">IF(I115=5,U114+1,0)</f>
        <v>0</v>
      </c>
      <c r="V115" s="14" t="n">
        <f aca="false">IF(AND(F115&lt;&gt;"",F115&gt;=2),V114+1,0)</f>
        <v>0</v>
      </c>
      <c r="W115" s="14" t="n">
        <f aca="false">IF(O115=0,W114+1,0)</f>
        <v>2</v>
      </c>
      <c r="X115" s="14" t="str">
        <f aca="false">IF(OR(E115="",F115=""),"",ROUND((10*(E115-1)+10*(2-MIN(F115,2)))/60*100,0))</f>
        <v/>
      </c>
    </row>
    <row r="116" customFormat="false" ht="15" hidden="false" customHeight="false" outlineLevel="0" collapsed="false">
      <c r="A116" s="4" t="s">
        <v>89</v>
      </c>
      <c r="B116" s="4" t="n">
        <v>3</v>
      </c>
      <c r="C116" s="4" t="n">
        <f aca="false">IF(B116&lt;=7,1,2)</f>
        <v>1</v>
      </c>
      <c r="D116" s="15"/>
      <c r="E116" s="15"/>
      <c r="F116" s="15"/>
      <c r="G116" s="15"/>
      <c r="H116" s="15"/>
      <c r="I116" s="15"/>
      <c r="J116" s="15"/>
      <c r="K116" s="16"/>
      <c r="L116" s="16"/>
      <c r="M116" s="15"/>
      <c r="N116" s="14" t="str">
        <f aca="false">IF(OR(E116="",F116="",G116=""),"",10*(E116-1)+10*(G116-1)+10*(2-MIN(F116,2)))</f>
        <v/>
      </c>
      <c r="O116" s="14" t="n">
        <f aca="false">IF(AND(N116&lt;&gt;"",I116&lt;&gt;""),1,0)</f>
        <v>0</v>
      </c>
      <c r="P116" s="14" t="str">
        <f aca="false">IF(N116="","",IF(N116&lt;Ngưỡng!$B$4,1,0))</f>
        <v/>
      </c>
      <c r="Q116" s="14" t="str">
        <f aca="false">IF(I116="","",IF(I116&gt;=Ngưỡng!$B$5,1,0))</f>
        <v/>
      </c>
      <c r="R116" s="14" t="str">
        <f aca="false">IF(H116="","",IF(H116&lt;&gt;"Yên",1,0))</f>
        <v/>
      </c>
      <c r="S116" s="14" t="str">
        <f aca="false">IF(K116="","",IF(K116&gt;Ngưỡng!$B$6,1,0))</f>
        <v/>
      </c>
      <c r="T116" s="14" t="str">
        <f aca="false">IF(N116="","",IF(N116&gt;=Ngưỡng!$B$3,1,0))</f>
        <v/>
      </c>
      <c r="U116" s="14" t="n">
        <f aca="false">IF(I116=5,U115+1,0)</f>
        <v>0</v>
      </c>
      <c r="V116" s="14" t="n">
        <f aca="false">IF(AND(F116&lt;&gt;"",F116&gt;=2),V115+1,0)</f>
        <v>0</v>
      </c>
      <c r="W116" s="14" t="n">
        <f aca="false">IF(O116=0,W115+1,0)</f>
        <v>3</v>
      </c>
      <c r="X116" s="14" t="str">
        <f aca="false">IF(OR(E116="",F116=""),"",ROUND((10*(E116-1)+10*(2-MIN(F116,2)))/60*100,0))</f>
        <v/>
      </c>
    </row>
    <row r="117" customFormat="false" ht="15" hidden="false" customHeight="false" outlineLevel="0" collapsed="false">
      <c r="A117" s="4" t="s">
        <v>89</v>
      </c>
      <c r="B117" s="4" t="n">
        <v>4</v>
      </c>
      <c r="C117" s="4" t="n">
        <f aca="false">IF(B117&lt;=7,1,2)</f>
        <v>1</v>
      </c>
      <c r="D117" s="15"/>
      <c r="E117" s="15"/>
      <c r="F117" s="15"/>
      <c r="G117" s="15"/>
      <c r="H117" s="15"/>
      <c r="I117" s="15"/>
      <c r="J117" s="15"/>
      <c r="K117" s="16"/>
      <c r="L117" s="16"/>
      <c r="M117" s="15"/>
      <c r="N117" s="14" t="str">
        <f aca="false">IF(OR(E117="",F117="",G117=""),"",10*(E117-1)+10*(G117-1)+10*(2-MIN(F117,2)))</f>
        <v/>
      </c>
      <c r="O117" s="14" t="n">
        <f aca="false">IF(AND(N117&lt;&gt;"",I117&lt;&gt;""),1,0)</f>
        <v>0</v>
      </c>
      <c r="P117" s="14" t="str">
        <f aca="false">IF(N117="","",IF(N117&lt;Ngưỡng!$B$4,1,0))</f>
        <v/>
      </c>
      <c r="Q117" s="14" t="str">
        <f aca="false">IF(I117="","",IF(I117&gt;=Ngưỡng!$B$5,1,0))</f>
        <v/>
      </c>
      <c r="R117" s="14" t="str">
        <f aca="false">IF(H117="","",IF(H117&lt;&gt;"Yên",1,0))</f>
        <v/>
      </c>
      <c r="S117" s="14" t="str">
        <f aca="false">IF(K117="","",IF(K117&gt;Ngưỡng!$B$6,1,0))</f>
        <v/>
      </c>
      <c r="T117" s="14" t="str">
        <f aca="false">IF(N117="","",IF(N117&gt;=Ngưỡng!$B$3,1,0))</f>
        <v/>
      </c>
      <c r="U117" s="14" t="n">
        <f aca="false">IF(I117=5,U116+1,0)</f>
        <v>0</v>
      </c>
      <c r="V117" s="14" t="n">
        <f aca="false">IF(AND(F117&lt;&gt;"",F117&gt;=2),V116+1,0)</f>
        <v>0</v>
      </c>
      <c r="W117" s="14" t="n">
        <f aca="false">IF(O117=0,W116+1,0)</f>
        <v>4</v>
      </c>
      <c r="X117" s="14" t="str">
        <f aca="false">IF(OR(E117="",F117=""),"",ROUND((10*(E117-1)+10*(2-MIN(F117,2)))/60*100,0))</f>
        <v/>
      </c>
    </row>
    <row r="118" customFormat="false" ht="15" hidden="false" customHeight="false" outlineLevel="0" collapsed="false">
      <c r="A118" s="4" t="s">
        <v>89</v>
      </c>
      <c r="B118" s="4" t="n">
        <v>5</v>
      </c>
      <c r="C118" s="4" t="n">
        <f aca="false">IF(B118&lt;=7,1,2)</f>
        <v>1</v>
      </c>
      <c r="D118" s="15"/>
      <c r="E118" s="15"/>
      <c r="F118" s="15"/>
      <c r="G118" s="15"/>
      <c r="H118" s="15"/>
      <c r="I118" s="15"/>
      <c r="J118" s="15"/>
      <c r="K118" s="16"/>
      <c r="L118" s="16"/>
      <c r="M118" s="15"/>
      <c r="N118" s="14" t="str">
        <f aca="false">IF(OR(E118="",F118="",G118=""),"",10*(E118-1)+10*(G118-1)+10*(2-MIN(F118,2)))</f>
        <v/>
      </c>
      <c r="O118" s="14" t="n">
        <f aca="false">IF(AND(N118&lt;&gt;"",I118&lt;&gt;""),1,0)</f>
        <v>0</v>
      </c>
      <c r="P118" s="14" t="str">
        <f aca="false">IF(N118="","",IF(N118&lt;Ngưỡng!$B$4,1,0))</f>
        <v/>
      </c>
      <c r="Q118" s="14" t="str">
        <f aca="false">IF(I118="","",IF(I118&gt;=Ngưỡng!$B$5,1,0))</f>
        <v/>
      </c>
      <c r="R118" s="14" t="str">
        <f aca="false">IF(H118="","",IF(H118&lt;&gt;"Yên",1,0))</f>
        <v/>
      </c>
      <c r="S118" s="14" t="str">
        <f aca="false">IF(K118="","",IF(K118&gt;Ngưỡng!$B$6,1,0))</f>
        <v/>
      </c>
      <c r="T118" s="14" t="str">
        <f aca="false">IF(N118="","",IF(N118&gt;=Ngưỡng!$B$3,1,0))</f>
        <v/>
      </c>
      <c r="U118" s="14" t="n">
        <f aca="false">IF(I118=5,U117+1,0)</f>
        <v>0</v>
      </c>
      <c r="V118" s="14" t="n">
        <f aca="false">IF(AND(F118&lt;&gt;"",F118&gt;=2),V117+1,0)</f>
        <v>0</v>
      </c>
      <c r="W118" s="14" t="n">
        <f aca="false">IF(O118=0,W117+1,0)</f>
        <v>5</v>
      </c>
      <c r="X118" s="14" t="str">
        <f aca="false">IF(OR(E118="",F118=""),"",ROUND((10*(E118-1)+10*(2-MIN(F118,2)))/60*100,0))</f>
        <v/>
      </c>
    </row>
    <row r="119" customFormat="false" ht="15" hidden="false" customHeight="false" outlineLevel="0" collapsed="false">
      <c r="A119" s="4" t="s">
        <v>89</v>
      </c>
      <c r="B119" s="4" t="n">
        <v>6</v>
      </c>
      <c r="C119" s="4" t="n">
        <f aca="false">IF(B119&lt;=7,1,2)</f>
        <v>1</v>
      </c>
      <c r="D119" s="15"/>
      <c r="E119" s="15"/>
      <c r="F119" s="15"/>
      <c r="G119" s="15"/>
      <c r="H119" s="15"/>
      <c r="I119" s="15"/>
      <c r="J119" s="15"/>
      <c r="K119" s="16"/>
      <c r="L119" s="16"/>
      <c r="M119" s="15"/>
      <c r="N119" s="14" t="str">
        <f aca="false">IF(OR(E119="",F119="",G119=""),"",10*(E119-1)+10*(G119-1)+10*(2-MIN(F119,2)))</f>
        <v/>
      </c>
      <c r="O119" s="14" t="n">
        <f aca="false">IF(AND(N119&lt;&gt;"",I119&lt;&gt;""),1,0)</f>
        <v>0</v>
      </c>
      <c r="P119" s="14" t="str">
        <f aca="false">IF(N119="","",IF(N119&lt;Ngưỡng!$B$4,1,0))</f>
        <v/>
      </c>
      <c r="Q119" s="14" t="str">
        <f aca="false">IF(I119="","",IF(I119&gt;=Ngưỡng!$B$5,1,0))</f>
        <v/>
      </c>
      <c r="R119" s="14" t="str">
        <f aca="false">IF(H119="","",IF(H119&lt;&gt;"Yên",1,0))</f>
        <v/>
      </c>
      <c r="S119" s="14" t="str">
        <f aca="false">IF(K119="","",IF(K119&gt;Ngưỡng!$B$6,1,0))</f>
        <v/>
      </c>
      <c r="T119" s="14" t="str">
        <f aca="false">IF(N119="","",IF(N119&gt;=Ngưỡng!$B$3,1,0))</f>
        <v/>
      </c>
      <c r="U119" s="14" t="n">
        <f aca="false">IF(I119=5,U118+1,0)</f>
        <v>0</v>
      </c>
      <c r="V119" s="14" t="n">
        <f aca="false">IF(AND(F119&lt;&gt;"",F119&gt;=2),V118+1,0)</f>
        <v>0</v>
      </c>
      <c r="W119" s="14" t="n">
        <f aca="false">IF(O119=0,W118+1,0)</f>
        <v>6</v>
      </c>
      <c r="X119" s="14" t="str">
        <f aca="false">IF(OR(E119="",F119=""),"",ROUND((10*(E119-1)+10*(2-MIN(F119,2)))/60*100,0))</f>
        <v/>
      </c>
    </row>
    <row r="120" customFormat="false" ht="15" hidden="false" customHeight="false" outlineLevel="0" collapsed="false">
      <c r="A120" s="4" t="s">
        <v>89</v>
      </c>
      <c r="B120" s="4" t="n">
        <v>7</v>
      </c>
      <c r="C120" s="4" t="n">
        <f aca="false">IF(B120&lt;=7,1,2)</f>
        <v>1</v>
      </c>
      <c r="D120" s="15"/>
      <c r="E120" s="15"/>
      <c r="F120" s="15"/>
      <c r="G120" s="15"/>
      <c r="H120" s="15"/>
      <c r="I120" s="15"/>
      <c r="J120" s="15"/>
      <c r="K120" s="16"/>
      <c r="L120" s="16"/>
      <c r="M120" s="15"/>
      <c r="N120" s="14" t="str">
        <f aca="false">IF(OR(E120="",F120="",G120=""),"",10*(E120-1)+10*(G120-1)+10*(2-MIN(F120,2)))</f>
        <v/>
      </c>
      <c r="O120" s="14" t="n">
        <f aca="false">IF(AND(N120&lt;&gt;"",I120&lt;&gt;""),1,0)</f>
        <v>0</v>
      </c>
      <c r="P120" s="14" t="str">
        <f aca="false">IF(N120="","",IF(N120&lt;Ngưỡng!$B$4,1,0))</f>
        <v/>
      </c>
      <c r="Q120" s="14" t="str">
        <f aca="false">IF(I120="","",IF(I120&gt;=Ngưỡng!$B$5,1,0))</f>
        <v/>
      </c>
      <c r="R120" s="14" t="str">
        <f aca="false">IF(H120="","",IF(H120&lt;&gt;"Yên",1,0))</f>
        <v/>
      </c>
      <c r="S120" s="14" t="str">
        <f aca="false">IF(K120="","",IF(K120&gt;Ngưỡng!$B$6,1,0))</f>
        <v/>
      </c>
      <c r="T120" s="14" t="str">
        <f aca="false">IF(N120="","",IF(N120&gt;=Ngưỡng!$B$3,1,0))</f>
        <v/>
      </c>
      <c r="U120" s="14" t="n">
        <f aca="false">IF(I120=5,U119+1,0)</f>
        <v>0</v>
      </c>
      <c r="V120" s="14" t="n">
        <f aca="false">IF(AND(F120&lt;&gt;"",F120&gt;=2),V119+1,0)</f>
        <v>0</v>
      </c>
      <c r="W120" s="14" t="n">
        <f aca="false">IF(O120=0,W119+1,0)</f>
        <v>7</v>
      </c>
      <c r="X120" s="14" t="str">
        <f aca="false">IF(OR(E120="",F120=""),"",ROUND((10*(E120-1)+10*(2-MIN(F120,2)))/60*100,0))</f>
        <v/>
      </c>
    </row>
    <row r="121" customFormat="false" ht="15" hidden="false" customHeight="false" outlineLevel="0" collapsed="false">
      <c r="A121" s="4" t="s">
        <v>89</v>
      </c>
      <c r="B121" s="4" t="n">
        <v>8</v>
      </c>
      <c r="C121" s="4" t="n">
        <f aca="false">IF(B121&lt;=7,1,2)</f>
        <v>2</v>
      </c>
      <c r="D121" s="15"/>
      <c r="E121" s="15"/>
      <c r="F121" s="15"/>
      <c r="G121" s="15"/>
      <c r="H121" s="15"/>
      <c r="I121" s="15"/>
      <c r="J121" s="15"/>
      <c r="K121" s="16"/>
      <c r="L121" s="16"/>
      <c r="M121" s="15"/>
      <c r="N121" s="14" t="str">
        <f aca="false">IF(OR(E121="",F121="",G121=""),"",10*(E121-1)+10*(G121-1)+10*(2-MIN(F121,2)))</f>
        <v/>
      </c>
      <c r="O121" s="14" t="n">
        <f aca="false">IF(AND(N121&lt;&gt;"",I121&lt;&gt;""),1,0)</f>
        <v>0</v>
      </c>
      <c r="P121" s="14" t="str">
        <f aca="false">IF(N121="","",IF(N121&lt;Ngưỡng!$B$4,1,0))</f>
        <v/>
      </c>
      <c r="Q121" s="14" t="str">
        <f aca="false">IF(I121="","",IF(I121&gt;=Ngưỡng!$B$5,1,0))</f>
        <v/>
      </c>
      <c r="R121" s="14" t="str">
        <f aca="false">IF(H121="","",IF(H121&lt;&gt;"Yên",1,0))</f>
        <v/>
      </c>
      <c r="S121" s="14" t="str">
        <f aca="false">IF(K121="","",IF(K121&gt;Ngưỡng!$B$6,1,0))</f>
        <v/>
      </c>
      <c r="T121" s="14" t="str">
        <f aca="false">IF(N121="","",IF(N121&gt;=Ngưỡng!$B$3,1,0))</f>
        <v/>
      </c>
      <c r="U121" s="14" t="n">
        <f aca="false">IF(I121=5,U120+1,0)</f>
        <v>0</v>
      </c>
      <c r="V121" s="14" t="n">
        <f aca="false">IF(AND(F121&lt;&gt;"",F121&gt;=2),V120+1,0)</f>
        <v>0</v>
      </c>
      <c r="W121" s="14" t="n">
        <f aca="false">IF(O121=0,W120+1,0)</f>
        <v>8</v>
      </c>
      <c r="X121" s="14" t="str">
        <f aca="false">IF(OR(E121="",F121=""),"",ROUND((10*(E121-1)+10*(2-MIN(F121,2)))/60*100,0))</f>
        <v/>
      </c>
    </row>
    <row r="122" customFormat="false" ht="15" hidden="false" customHeight="false" outlineLevel="0" collapsed="false">
      <c r="A122" s="4" t="s">
        <v>89</v>
      </c>
      <c r="B122" s="4" t="n">
        <v>9</v>
      </c>
      <c r="C122" s="4" t="n">
        <f aca="false">IF(B122&lt;=7,1,2)</f>
        <v>2</v>
      </c>
      <c r="D122" s="15"/>
      <c r="E122" s="15"/>
      <c r="F122" s="15"/>
      <c r="G122" s="15"/>
      <c r="H122" s="15"/>
      <c r="I122" s="15"/>
      <c r="J122" s="15"/>
      <c r="K122" s="16"/>
      <c r="L122" s="16"/>
      <c r="M122" s="15"/>
      <c r="N122" s="14" t="str">
        <f aca="false">IF(OR(E122="",F122="",G122=""),"",10*(E122-1)+10*(G122-1)+10*(2-MIN(F122,2)))</f>
        <v/>
      </c>
      <c r="O122" s="14" t="n">
        <f aca="false">IF(AND(N122&lt;&gt;"",I122&lt;&gt;""),1,0)</f>
        <v>0</v>
      </c>
      <c r="P122" s="14" t="str">
        <f aca="false">IF(N122="","",IF(N122&lt;Ngưỡng!$B$4,1,0))</f>
        <v/>
      </c>
      <c r="Q122" s="14" t="str">
        <f aca="false">IF(I122="","",IF(I122&gt;=Ngưỡng!$B$5,1,0))</f>
        <v/>
      </c>
      <c r="R122" s="14" t="str">
        <f aca="false">IF(H122="","",IF(H122&lt;&gt;"Yên",1,0))</f>
        <v/>
      </c>
      <c r="S122" s="14" t="str">
        <f aca="false">IF(K122="","",IF(K122&gt;Ngưỡng!$B$6,1,0))</f>
        <v/>
      </c>
      <c r="T122" s="14" t="str">
        <f aca="false">IF(N122="","",IF(N122&gt;=Ngưỡng!$B$3,1,0))</f>
        <v/>
      </c>
      <c r="U122" s="14" t="n">
        <f aca="false">IF(I122=5,U121+1,0)</f>
        <v>0</v>
      </c>
      <c r="V122" s="14" t="n">
        <f aca="false">IF(AND(F122&lt;&gt;"",F122&gt;=2),V121+1,0)</f>
        <v>0</v>
      </c>
      <c r="W122" s="14" t="n">
        <f aca="false">IF(O122=0,W121+1,0)</f>
        <v>9</v>
      </c>
      <c r="X122" s="14" t="str">
        <f aca="false">IF(OR(E122="",F122=""),"",ROUND((10*(E122-1)+10*(2-MIN(F122,2)))/60*100,0))</f>
        <v/>
      </c>
    </row>
    <row r="123" customFormat="false" ht="15" hidden="false" customHeight="false" outlineLevel="0" collapsed="false">
      <c r="A123" s="4" t="s">
        <v>89</v>
      </c>
      <c r="B123" s="4" t="n">
        <v>10</v>
      </c>
      <c r="C123" s="4" t="n">
        <f aca="false">IF(B123&lt;=7,1,2)</f>
        <v>2</v>
      </c>
      <c r="D123" s="15"/>
      <c r="E123" s="15"/>
      <c r="F123" s="15"/>
      <c r="G123" s="15"/>
      <c r="H123" s="15"/>
      <c r="I123" s="15"/>
      <c r="J123" s="15"/>
      <c r="K123" s="16"/>
      <c r="L123" s="16"/>
      <c r="M123" s="15"/>
      <c r="N123" s="14" t="str">
        <f aca="false">IF(OR(E123="",F123="",G123=""),"",10*(E123-1)+10*(G123-1)+10*(2-MIN(F123,2)))</f>
        <v/>
      </c>
      <c r="O123" s="14" t="n">
        <f aca="false">IF(AND(N123&lt;&gt;"",I123&lt;&gt;""),1,0)</f>
        <v>0</v>
      </c>
      <c r="P123" s="14" t="str">
        <f aca="false">IF(N123="","",IF(N123&lt;Ngưỡng!$B$4,1,0))</f>
        <v/>
      </c>
      <c r="Q123" s="14" t="str">
        <f aca="false">IF(I123="","",IF(I123&gt;=Ngưỡng!$B$5,1,0))</f>
        <v/>
      </c>
      <c r="R123" s="14" t="str">
        <f aca="false">IF(H123="","",IF(H123&lt;&gt;"Yên",1,0))</f>
        <v/>
      </c>
      <c r="S123" s="14" t="str">
        <f aca="false">IF(K123="","",IF(K123&gt;Ngưỡng!$B$6,1,0))</f>
        <v/>
      </c>
      <c r="T123" s="14" t="str">
        <f aca="false">IF(N123="","",IF(N123&gt;=Ngưỡng!$B$3,1,0))</f>
        <v/>
      </c>
      <c r="U123" s="14" t="n">
        <f aca="false">IF(I123=5,U122+1,0)</f>
        <v>0</v>
      </c>
      <c r="V123" s="14" t="n">
        <f aca="false">IF(AND(F123&lt;&gt;"",F123&gt;=2),V122+1,0)</f>
        <v>0</v>
      </c>
      <c r="W123" s="14" t="n">
        <f aca="false">IF(O123=0,W122+1,0)</f>
        <v>10</v>
      </c>
      <c r="X123" s="14" t="str">
        <f aca="false">IF(OR(E123="",F123=""),"",ROUND((10*(E123-1)+10*(2-MIN(F123,2)))/60*100,0))</f>
        <v/>
      </c>
    </row>
    <row r="124" customFormat="false" ht="15" hidden="false" customHeight="false" outlineLevel="0" collapsed="false">
      <c r="A124" s="4" t="s">
        <v>89</v>
      </c>
      <c r="B124" s="4" t="n">
        <v>11</v>
      </c>
      <c r="C124" s="4" t="n">
        <f aca="false">IF(B124&lt;=7,1,2)</f>
        <v>2</v>
      </c>
      <c r="D124" s="15"/>
      <c r="E124" s="15"/>
      <c r="F124" s="15"/>
      <c r="G124" s="15"/>
      <c r="H124" s="15"/>
      <c r="I124" s="15"/>
      <c r="J124" s="15"/>
      <c r="K124" s="16"/>
      <c r="L124" s="16"/>
      <c r="M124" s="15"/>
      <c r="N124" s="14" t="str">
        <f aca="false">IF(OR(E124="",F124="",G124=""),"",10*(E124-1)+10*(G124-1)+10*(2-MIN(F124,2)))</f>
        <v/>
      </c>
      <c r="O124" s="14" t="n">
        <f aca="false">IF(AND(N124&lt;&gt;"",I124&lt;&gt;""),1,0)</f>
        <v>0</v>
      </c>
      <c r="P124" s="14" t="str">
        <f aca="false">IF(N124="","",IF(N124&lt;Ngưỡng!$B$4,1,0))</f>
        <v/>
      </c>
      <c r="Q124" s="14" t="str">
        <f aca="false">IF(I124="","",IF(I124&gt;=Ngưỡng!$B$5,1,0))</f>
        <v/>
      </c>
      <c r="R124" s="14" t="str">
        <f aca="false">IF(H124="","",IF(H124&lt;&gt;"Yên",1,0))</f>
        <v/>
      </c>
      <c r="S124" s="14" t="str">
        <f aca="false">IF(K124="","",IF(K124&gt;Ngưỡng!$B$6,1,0))</f>
        <v/>
      </c>
      <c r="T124" s="14" t="str">
        <f aca="false">IF(N124="","",IF(N124&gt;=Ngưỡng!$B$3,1,0))</f>
        <v/>
      </c>
      <c r="U124" s="14" t="n">
        <f aca="false">IF(I124=5,U123+1,0)</f>
        <v>0</v>
      </c>
      <c r="V124" s="14" t="n">
        <f aca="false">IF(AND(F124&lt;&gt;"",F124&gt;=2),V123+1,0)</f>
        <v>0</v>
      </c>
      <c r="W124" s="14" t="n">
        <f aca="false">IF(O124=0,W123+1,0)</f>
        <v>11</v>
      </c>
      <c r="X124" s="14" t="str">
        <f aca="false">IF(OR(E124="",F124=""),"",ROUND((10*(E124-1)+10*(2-MIN(F124,2)))/60*100,0))</f>
        <v/>
      </c>
    </row>
    <row r="125" customFormat="false" ht="15" hidden="false" customHeight="false" outlineLevel="0" collapsed="false">
      <c r="A125" s="4" t="s">
        <v>89</v>
      </c>
      <c r="B125" s="4" t="n">
        <v>12</v>
      </c>
      <c r="C125" s="4" t="n">
        <f aca="false">IF(B125&lt;=7,1,2)</f>
        <v>2</v>
      </c>
      <c r="D125" s="15"/>
      <c r="E125" s="15"/>
      <c r="F125" s="15"/>
      <c r="G125" s="15"/>
      <c r="H125" s="15"/>
      <c r="I125" s="15"/>
      <c r="J125" s="15"/>
      <c r="K125" s="16"/>
      <c r="L125" s="16"/>
      <c r="M125" s="15"/>
      <c r="N125" s="14" t="str">
        <f aca="false">IF(OR(E125="",F125="",G125=""),"",10*(E125-1)+10*(G125-1)+10*(2-MIN(F125,2)))</f>
        <v/>
      </c>
      <c r="O125" s="14" t="n">
        <f aca="false">IF(AND(N125&lt;&gt;"",I125&lt;&gt;""),1,0)</f>
        <v>0</v>
      </c>
      <c r="P125" s="14" t="str">
        <f aca="false">IF(N125="","",IF(N125&lt;Ngưỡng!$B$4,1,0))</f>
        <v/>
      </c>
      <c r="Q125" s="14" t="str">
        <f aca="false">IF(I125="","",IF(I125&gt;=Ngưỡng!$B$5,1,0))</f>
        <v/>
      </c>
      <c r="R125" s="14" t="str">
        <f aca="false">IF(H125="","",IF(H125&lt;&gt;"Yên",1,0))</f>
        <v/>
      </c>
      <c r="S125" s="14" t="str">
        <f aca="false">IF(K125="","",IF(K125&gt;Ngưỡng!$B$6,1,0))</f>
        <v/>
      </c>
      <c r="T125" s="14" t="str">
        <f aca="false">IF(N125="","",IF(N125&gt;=Ngưỡng!$B$3,1,0))</f>
        <v/>
      </c>
      <c r="U125" s="14" t="n">
        <f aca="false">IF(I125=5,U124+1,0)</f>
        <v>0</v>
      </c>
      <c r="V125" s="14" t="n">
        <f aca="false">IF(AND(F125&lt;&gt;"",F125&gt;=2),V124+1,0)</f>
        <v>0</v>
      </c>
      <c r="W125" s="14" t="n">
        <f aca="false">IF(O125=0,W124+1,0)</f>
        <v>12</v>
      </c>
      <c r="X125" s="14" t="str">
        <f aca="false">IF(OR(E125="",F125=""),"",ROUND((10*(E125-1)+10*(2-MIN(F125,2)))/60*100,0))</f>
        <v/>
      </c>
    </row>
    <row r="126" customFormat="false" ht="15" hidden="false" customHeight="false" outlineLevel="0" collapsed="false">
      <c r="A126" s="4" t="s">
        <v>89</v>
      </c>
      <c r="B126" s="4" t="n">
        <v>13</v>
      </c>
      <c r="C126" s="4" t="n">
        <f aca="false">IF(B126&lt;=7,1,2)</f>
        <v>2</v>
      </c>
      <c r="D126" s="15"/>
      <c r="E126" s="15"/>
      <c r="F126" s="15"/>
      <c r="G126" s="15"/>
      <c r="H126" s="15"/>
      <c r="I126" s="15"/>
      <c r="J126" s="15"/>
      <c r="K126" s="16"/>
      <c r="L126" s="16"/>
      <c r="M126" s="15"/>
      <c r="N126" s="14" t="str">
        <f aca="false">IF(OR(E126="",F126="",G126=""),"",10*(E126-1)+10*(G126-1)+10*(2-MIN(F126,2)))</f>
        <v/>
      </c>
      <c r="O126" s="14" t="n">
        <f aca="false">IF(AND(N126&lt;&gt;"",I126&lt;&gt;""),1,0)</f>
        <v>0</v>
      </c>
      <c r="P126" s="14" t="str">
        <f aca="false">IF(N126="","",IF(N126&lt;Ngưỡng!$B$4,1,0))</f>
        <v/>
      </c>
      <c r="Q126" s="14" t="str">
        <f aca="false">IF(I126="","",IF(I126&gt;=Ngưỡng!$B$5,1,0))</f>
        <v/>
      </c>
      <c r="R126" s="14" t="str">
        <f aca="false">IF(H126="","",IF(H126&lt;&gt;"Yên",1,0))</f>
        <v/>
      </c>
      <c r="S126" s="14" t="str">
        <f aca="false">IF(K126="","",IF(K126&gt;Ngưỡng!$B$6,1,0))</f>
        <v/>
      </c>
      <c r="T126" s="14" t="str">
        <f aca="false">IF(N126="","",IF(N126&gt;=Ngưỡng!$B$3,1,0))</f>
        <v/>
      </c>
      <c r="U126" s="14" t="n">
        <f aca="false">IF(I126=5,U125+1,0)</f>
        <v>0</v>
      </c>
      <c r="V126" s="14" t="n">
        <f aca="false">IF(AND(F126&lt;&gt;"",F126&gt;=2),V125+1,0)</f>
        <v>0</v>
      </c>
      <c r="W126" s="14" t="n">
        <f aca="false">IF(O126=0,W125+1,0)</f>
        <v>13</v>
      </c>
      <c r="X126" s="14" t="str">
        <f aca="false">IF(OR(E126="",F126=""),"",ROUND((10*(E126-1)+10*(2-MIN(F126,2)))/60*100,0))</f>
        <v/>
      </c>
    </row>
    <row r="127" customFormat="false" ht="15" hidden="false" customHeight="false" outlineLevel="0" collapsed="false">
      <c r="A127" s="4" t="s">
        <v>89</v>
      </c>
      <c r="B127" s="4" t="n">
        <v>14</v>
      </c>
      <c r="C127" s="4" t="n">
        <f aca="false">IF(B127&lt;=7,1,2)</f>
        <v>2</v>
      </c>
      <c r="D127" s="15"/>
      <c r="E127" s="15"/>
      <c r="F127" s="15"/>
      <c r="G127" s="15"/>
      <c r="H127" s="15"/>
      <c r="I127" s="15"/>
      <c r="J127" s="15"/>
      <c r="K127" s="16"/>
      <c r="L127" s="16"/>
      <c r="M127" s="15"/>
      <c r="N127" s="14" t="str">
        <f aca="false">IF(OR(E127="",F127="",G127=""),"",10*(E127-1)+10*(G127-1)+10*(2-MIN(F127,2)))</f>
        <v/>
      </c>
      <c r="O127" s="14" t="n">
        <f aca="false">IF(AND(N127&lt;&gt;"",I127&lt;&gt;""),1,0)</f>
        <v>0</v>
      </c>
      <c r="P127" s="14" t="str">
        <f aca="false">IF(N127="","",IF(N127&lt;Ngưỡng!$B$4,1,0))</f>
        <v/>
      </c>
      <c r="Q127" s="14" t="str">
        <f aca="false">IF(I127="","",IF(I127&gt;=Ngưỡng!$B$5,1,0))</f>
        <v/>
      </c>
      <c r="R127" s="14" t="str">
        <f aca="false">IF(H127="","",IF(H127&lt;&gt;"Yên",1,0))</f>
        <v/>
      </c>
      <c r="S127" s="14" t="str">
        <f aca="false">IF(K127="","",IF(K127&gt;Ngưỡng!$B$6,1,0))</f>
        <v/>
      </c>
      <c r="T127" s="14" t="str">
        <f aca="false">IF(N127="","",IF(N127&gt;=Ngưỡng!$B$3,1,0))</f>
        <v/>
      </c>
      <c r="U127" s="14" t="n">
        <f aca="false">IF(I127=5,U126+1,0)</f>
        <v>0</v>
      </c>
      <c r="V127" s="14" t="n">
        <f aca="false">IF(AND(F127&lt;&gt;"",F127&gt;=2),V126+1,0)</f>
        <v>0</v>
      </c>
      <c r="W127" s="14" t="n">
        <f aca="false">IF(O127=0,W126+1,0)</f>
        <v>14</v>
      </c>
      <c r="X127" s="14" t="str">
        <f aca="false">IF(OR(E127="",F127=""),"",ROUND((10*(E127-1)+10*(2-MIN(F127,2)))/60*100,0))</f>
        <v/>
      </c>
    </row>
    <row r="128" customFormat="false" ht="15" hidden="false" customHeight="false" outlineLevel="0" collapsed="false">
      <c r="A128" s="4" t="s">
        <v>90</v>
      </c>
      <c r="B128" s="4" t="n">
        <v>1</v>
      </c>
      <c r="C128" s="4" t="n">
        <f aca="false">IF(B128&lt;=7,1,2)</f>
        <v>1</v>
      </c>
      <c r="D128" s="15"/>
      <c r="E128" s="15"/>
      <c r="F128" s="15"/>
      <c r="G128" s="15"/>
      <c r="H128" s="15"/>
      <c r="I128" s="15"/>
      <c r="J128" s="15"/>
      <c r="K128" s="16"/>
      <c r="L128" s="16"/>
      <c r="M128" s="15"/>
      <c r="N128" s="14" t="str">
        <f aca="false">IF(OR(E128="",F128="",G128=""),"",10*(E128-1)+10*(G128-1)+10*(2-MIN(F128,2)))</f>
        <v/>
      </c>
      <c r="O128" s="14" t="n">
        <f aca="false">IF(AND(N128&lt;&gt;"",I128&lt;&gt;""),1,0)</f>
        <v>0</v>
      </c>
      <c r="P128" s="14" t="str">
        <f aca="false">IF(N128="","",IF(N128&lt;Ngưỡng!$B$4,1,0))</f>
        <v/>
      </c>
      <c r="Q128" s="14" t="str">
        <f aca="false">IF(I128="","",IF(I128&gt;=Ngưỡng!$B$5,1,0))</f>
        <v/>
      </c>
      <c r="R128" s="14" t="str">
        <f aca="false">IF(H128="","",IF(H128&lt;&gt;"Yên",1,0))</f>
        <v/>
      </c>
      <c r="S128" s="14" t="str">
        <f aca="false">IF(K128="","",IF(K128&gt;Ngưỡng!$B$6,1,0))</f>
        <v/>
      </c>
      <c r="T128" s="14" t="str">
        <f aca="false">IF(N128="","",IF(N128&gt;=Ngưỡng!$B$3,1,0))</f>
        <v/>
      </c>
      <c r="U128" s="14" t="n">
        <f aca="false">IF(I128=5,0+1,0)</f>
        <v>0</v>
      </c>
      <c r="V128" s="14" t="n">
        <f aca="false">IF(AND(F128&lt;&gt;"",F128&gt;=2),0+1,0)</f>
        <v>0</v>
      </c>
      <c r="W128" s="14" t="n">
        <f aca="false">IF(O128=0,0+1,0)</f>
        <v>1</v>
      </c>
      <c r="X128" s="14" t="str">
        <f aca="false">IF(OR(E128="",F128=""),"",ROUND((10*(E128-1)+10*(2-MIN(F128,2)))/60*100,0))</f>
        <v/>
      </c>
    </row>
    <row r="129" customFormat="false" ht="15" hidden="false" customHeight="false" outlineLevel="0" collapsed="false">
      <c r="A129" s="4" t="s">
        <v>90</v>
      </c>
      <c r="B129" s="4" t="n">
        <v>2</v>
      </c>
      <c r="C129" s="4" t="n">
        <f aca="false">IF(B129&lt;=7,1,2)</f>
        <v>1</v>
      </c>
      <c r="D129" s="15"/>
      <c r="E129" s="15"/>
      <c r="F129" s="15"/>
      <c r="G129" s="15"/>
      <c r="H129" s="15"/>
      <c r="I129" s="15"/>
      <c r="J129" s="15"/>
      <c r="K129" s="16"/>
      <c r="L129" s="16"/>
      <c r="M129" s="15"/>
      <c r="N129" s="14" t="str">
        <f aca="false">IF(OR(E129="",F129="",G129=""),"",10*(E129-1)+10*(G129-1)+10*(2-MIN(F129,2)))</f>
        <v/>
      </c>
      <c r="O129" s="14" t="n">
        <f aca="false">IF(AND(N129&lt;&gt;"",I129&lt;&gt;""),1,0)</f>
        <v>0</v>
      </c>
      <c r="P129" s="14" t="str">
        <f aca="false">IF(N129="","",IF(N129&lt;Ngưỡng!$B$4,1,0))</f>
        <v/>
      </c>
      <c r="Q129" s="14" t="str">
        <f aca="false">IF(I129="","",IF(I129&gt;=Ngưỡng!$B$5,1,0))</f>
        <v/>
      </c>
      <c r="R129" s="14" t="str">
        <f aca="false">IF(H129="","",IF(H129&lt;&gt;"Yên",1,0))</f>
        <v/>
      </c>
      <c r="S129" s="14" t="str">
        <f aca="false">IF(K129="","",IF(K129&gt;Ngưỡng!$B$6,1,0))</f>
        <v/>
      </c>
      <c r="T129" s="14" t="str">
        <f aca="false">IF(N129="","",IF(N129&gt;=Ngưỡng!$B$3,1,0))</f>
        <v/>
      </c>
      <c r="U129" s="14" t="n">
        <f aca="false">IF(I129=5,U128+1,0)</f>
        <v>0</v>
      </c>
      <c r="V129" s="14" t="n">
        <f aca="false">IF(AND(F129&lt;&gt;"",F129&gt;=2),V128+1,0)</f>
        <v>0</v>
      </c>
      <c r="W129" s="14" t="n">
        <f aca="false">IF(O129=0,W128+1,0)</f>
        <v>2</v>
      </c>
      <c r="X129" s="14" t="str">
        <f aca="false">IF(OR(E129="",F129=""),"",ROUND((10*(E129-1)+10*(2-MIN(F129,2)))/60*100,0))</f>
        <v/>
      </c>
    </row>
    <row r="130" customFormat="false" ht="15" hidden="false" customHeight="false" outlineLevel="0" collapsed="false">
      <c r="A130" s="4" t="s">
        <v>90</v>
      </c>
      <c r="B130" s="4" t="n">
        <v>3</v>
      </c>
      <c r="C130" s="4" t="n">
        <f aca="false">IF(B130&lt;=7,1,2)</f>
        <v>1</v>
      </c>
      <c r="D130" s="15"/>
      <c r="E130" s="15"/>
      <c r="F130" s="15"/>
      <c r="G130" s="15"/>
      <c r="H130" s="15"/>
      <c r="I130" s="15"/>
      <c r="J130" s="15"/>
      <c r="K130" s="16"/>
      <c r="L130" s="16"/>
      <c r="M130" s="15"/>
      <c r="N130" s="14" t="str">
        <f aca="false">IF(OR(E130="",F130="",G130=""),"",10*(E130-1)+10*(G130-1)+10*(2-MIN(F130,2)))</f>
        <v/>
      </c>
      <c r="O130" s="14" t="n">
        <f aca="false">IF(AND(N130&lt;&gt;"",I130&lt;&gt;""),1,0)</f>
        <v>0</v>
      </c>
      <c r="P130" s="14" t="str">
        <f aca="false">IF(N130="","",IF(N130&lt;Ngưỡng!$B$4,1,0))</f>
        <v/>
      </c>
      <c r="Q130" s="14" t="str">
        <f aca="false">IF(I130="","",IF(I130&gt;=Ngưỡng!$B$5,1,0))</f>
        <v/>
      </c>
      <c r="R130" s="14" t="str">
        <f aca="false">IF(H130="","",IF(H130&lt;&gt;"Yên",1,0))</f>
        <v/>
      </c>
      <c r="S130" s="14" t="str">
        <f aca="false">IF(K130="","",IF(K130&gt;Ngưỡng!$B$6,1,0))</f>
        <v/>
      </c>
      <c r="T130" s="14" t="str">
        <f aca="false">IF(N130="","",IF(N130&gt;=Ngưỡng!$B$3,1,0))</f>
        <v/>
      </c>
      <c r="U130" s="14" t="n">
        <f aca="false">IF(I130=5,U129+1,0)</f>
        <v>0</v>
      </c>
      <c r="V130" s="14" t="n">
        <f aca="false">IF(AND(F130&lt;&gt;"",F130&gt;=2),V129+1,0)</f>
        <v>0</v>
      </c>
      <c r="W130" s="14" t="n">
        <f aca="false">IF(O130=0,W129+1,0)</f>
        <v>3</v>
      </c>
      <c r="X130" s="14" t="str">
        <f aca="false">IF(OR(E130="",F130=""),"",ROUND((10*(E130-1)+10*(2-MIN(F130,2)))/60*100,0))</f>
        <v/>
      </c>
    </row>
    <row r="131" customFormat="false" ht="15" hidden="false" customHeight="false" outlineLevel="0" collapsed="false">
      <c r="A131" s="4" t="s">
        <v>90</v>
      </c>
      <c r="B131" s="4" t="n">
        <v>4</v>
      </c>
      <c r="C131" s="4" t="n">
        <f aca="false">IF(B131&lt;=7,1,2)</f>
        <v>1</v>
      </c>
      <c r="D131" s="15"/>
      <c r="E131" s="15"/>
      <c r="F131" s="15"/>
      <c r="G131" s="15"/>
      <c r="H131" s="15"/>
      <c r="I131" s="15"/>
      <c r="J131" s="15"/>
      <c r="K131" s="16"/>
      <c r="L131" s="16"/>
      <c r="M131" s="15"/>
      <c r="N131" s="14" t="str">
        <f aca="false">IF(OR(E131="",F131="",G131=""),"",10*(E131-1)+10*(G131-1)+10*(2-MIN(F131,2)))</f>
        <v/>
      </c>
      <c r="O131" s="14" t="n">
        <f aca="false">IF(AND(N131&lt;&gt;"",I131&lt;&gt;""),1,0)</f>
        <v>0</v>
      </c>
      <c r="P131" s="14" t="str">
        <f aca="false">IF(N131="","",IF(N131&lt;Ngưỡng!$B$4,1,0))</f>
        <v/>
      </c>
      <c r="Q131" s="14" t="str">
        <f aca="false">IF(I131="","",IF(I131&gt;=Ngưỡng!$B$5,1,0))</f>
        <v/>
      </c>
      <c r="R131" s="14" t="str">
        <f aca="false">IF(H131="","",IF(H131&lt;&gt;"Yên",1,0))</f>
        <v/>
      </c>
      <c r="S131" s="14" t="str">
        <f aca="false">IF(K131="","",IF(K131&gt;Ngưỡng!$B$6,1,0))</f>
        <v/>
      </c>
      <c r="T131" s="14" t="str">
        <f aca="false">IF(N131="","",IF(N131&gt;=Ngưỡng!$B$3,1,0))</f>
        <v/>
      </c>
      <c r="U131" s="14" t="n">
        <f aca="false">IF(I131=5,U130+1,0)</f>
        <v>0</v>
      </c>
      <c r="V131" s="14" t="n">
        <f aca="false">IF(AND(F131&lt;&gt;"",F131&gt;=2),V130+1,0)</f>
        <v>0</v>
      </c>
      <c r="W131" s="14" t="n">
        <f aca="false">IF(O131=0,W130+1,0)</f>
        <v>4</v>
      </c>
      <c r="X131" s="14" t="str">
        <f aca="false">IF(OR(E131="",F131=""),"",ROUND((10*(E131-1)+10*(2-MIN(F131,2)))/60*100,0))</f>
        <v/>
      </c>
    </row>
    <row r="132" customFormat="false" ht="15" hidden="false" customHeight="false" outlineLevel="0" collapsed="false">
      <c r="A132" s="4" t="s">
        <v>90</v>
      </c>
      <c r="B132" s="4" t="n">
        <v>5</v>
      </c>
      <c r="C132" s="4" t="n">
        <f aca="false">IF(B132&lt;=7,1,2)</f>
        <v>1</v>
      </c>
      <c r="D132" s="15"/>
      <c r="E132" s="15"/>
      <c r="F132" s="15"/>
      <c r="G132" s="15"/>
      <c r="H132" s="15"/>
      <c r="I132" s="15"/>
      <c r="J132" s="15"/>
      <c r="K132" s="16"/>
      <c r="L132" s="16"/>
      <c r="M132" s="15"/>
      <c r="N132" s="14" t="str">
        <f aca="false">IF(OR(E132="",F132="",G132=""),"",10*(E132-1)+10*(G132-1)+10*(2-MIN(F132,2)))</f>
        <v/>
      </c>
      <c r="O132" s="14" t="n">
        <f aca="false">IF(AND(N132&lt;&gt;"",I132&lt;&gt;""),1,0)</f>
        <v>0</v>
      </c>
      <c r="P132" s="14" t="str">
        <f aca="false">IF(N132="","",IF(N132&lt;Ngưỡng!$B$4,1,0))</f>
        <v/>
      </c>
      <c r="Q132" s="14" t="str">
        <f aca="false">IF(I132="","",IF(I132&gt;=Ngưỡng!$B$5,1,0))</f>
        <v/>
      </c>
      <c r="R132" s="14" t="str">
        <f aca="false">IF(H132="","",IF(H132&lt;&gt;"Yên",1,0))</f>
        <v/>
      </c>
      <c r="S132" s="14" t="str">
        <f aca="false">IF(K132="","",IF(K132&gt;Ngưỡng!$B$6,1,0))</f>
        <v/>
      </c>
      <c r="T132" s="14" t="str">
        <f aca="false">IF(N132="","",IF(N132&gt;=Ngưỡng!$B$3,1,0))</f>
        <v/>
      </c>
      <c r="U132" s="14" t="n">
        <f aca="false">IF(I132=5,U131+1,0)</f>
        <v>0</v>
      </c>
      <c r="V132" s="14" t="n">
        <f aca="false">IF(AND(F132&lt;&gt;"",F132&gt;=2),V131+1,0)</f>
        <v>0</v>
      </c>
      <c r="W132" s="14" t="n">
        <f aca="false">IF(O132=0,W131+1,0)</f>
        <v>5</v>
      </c>
      <c r="X132" s="14" t="str">
        <f aca="false">IF(OR(E132="",F132=""),"",ROUND((10*(E132-1)+10*(2-MIN(F132,2)))/60*100,0))</f>
        <v/>
      </c>
    </row>
    <row r="133" customFormat="false" ht="15" hidden="false" customHeight="false" outlineLevel="0" collapsed="false">
      <c r="A133" s="4" t="s">
        <v>90</v>
      </c>
      <c r="B133" s="4" t="n">
        <v>6</v>
      </c>
      <c r="C133" s="4" t="n">
        <f aca="false">IF(B133&lt;=7,1,2)</f>
        <v>1</v>
      </c>
      <c r="D133" s="15"/>
      <c r="E133" s="15"/>
      <c r="F133" s="15"/>
      <c r="G133" s="15"/>
      <c r="H133" s="15"/>
      <c r="I133" s="15"/>
      <c r="J133" s="15"/>
      <c r="K133" s="16"/>
      <c r="L133" s="16"/>
      <c r="M133" s="15"/>
      <c r="N133" s="14" t="str">
        <f aca="false">IF(OR(E133="",F133="",G133=""),"",10*(E133-1)+10*(G133-1)+10*(2-MIN(F133,2)))</f>
        <v/>
      </c>
      <c r="O133" s="14" t="n">
        <f aca="false">IF(AND(N133&lt;&gt;"",I133&lt;&gt;""),1,0)</f>
        <v>0</v>
      </c>
      <c r="P133" s="14" t="str">
        <f aca="false">IF(N133="","",IF(N133&lt;Ngưỡng!$B$4,1,0))</f>
        <v/>
      </c>
      <c r="Q133" s="14" t="str">
        <f aca="false">IF(I133="","",IF(I133&gt;=Ngưỡng!$B$5,1,0))</f>
        <v/>
      </c>
      <c r="R133" s="14" t="str">
        <f aca="false">IF(H133="","",IF(H133&lt;&gt;"Yên",1,0))</f>
        <v/>
      </c>
      <c r="S133" s="14" t="str">
        <f aca="false">IF(K133="","",IF(K133&gt;Ngưỡng!$B$6,1,0))</f>
        <v/>
      </c>
      <c r="T133" s="14" t="str">
        <f aca="false">IF(N133="","",IF(N133&gt;=Ngưỡng!$B$3,1,0))</f>
        <v/>
      </c>
      <c r="U133" s="14" t="n">
        <f aca="false">IF(I133=5,U132+1,0)</f>
        <v>0</v>
      </c>
      <c r="V133" s="14" t="n">
        <f aca="false">IF(AND(F133&lt;&gt;"",F133&gt;=2),V132+1,0)</f>
        <v>0</v>
      </c>
      <c r="W133" s="14" t="n">
        <f aca="false">IF(O133=0,W132+1,0)</f>
        <v>6</v>
      </c>
      <c r="X133" s="14" t="str">
        <f aca="false">IF(OR(E133="",F133=""),"",ROUND((10*(E133-1)+10*(2-MIN(F133,2)))/60*100,0))</f>
        <v/>
      </c>
    </row>
    <row r="134" customFormat="false" ht="15" hidden="false" customHeight="false" outlineLevel="0" collapsed="false">
      <c r="A134" s="4" t="s">
        <v>90</v>
      </c>
      <c r="B134" s="4" t="n">
        <v>7</v>
      </c>
      <c r="C134" s="4" t="n">
        <f aca="false">IF(B134&lt;=7,1,2)</f>
        <v>1</v>
      </c>
      <c r="D134" s="15"/>
      <c r="E134" s="15"/>
      <c r="F134" s="15"/>
      <c r="G134" s="15"/>
      <c r="H134" s="15"/>
      <c r="I134" s="15"/>
      <c r="J134" s="15"/>
      <c r="K134" s="16"/>
      <c r="L134" s="16"/>
      <c r="M134" s="15"/>
      <c r="N134" s="14" t="str">
        <f aca="false">IF(OR(E134="",F134="",G134=""),"",10*(E134-1)+10*(G134-1)+10*(2-MIN(F134,2)))</f>
        <v/>
      </c>
      <c r="O134" s="14" t="n">
        <f aca="false">IF(AND(N134&lt;&gt;"",I134&lt;&gt;""),1,0)</f>
        <v>0</v>
      </c>
      <c r="P134" s="14" t="str">
        <f aca="false">IF(N134="","",IF(N134&lt;Ngưỡng!$B$4,1,0))</f>
        <v/>
      </c>
      <c r="Q134" s="14" t="str">
        <f aca="false">IF(I134="","",IF(I134&gt;=Ngưỡng!$B$5,1,0))</f>
        <v/>
      </c>
      <c r="R134" s="14" t="str">
        <f aca="false">IF(H134="","",IF(H134&lt;&gt;"Yên",1,0))</f>
        <v/>
      </c>
      <c r="S134" s="14" t="str">
        <f aca="false">IF(K134="","",IF(K134&gt;Ngưỡng!$B$6,1,0))</f>
        <v/>
      </c>
      <c r="T134" s="14" t="str">
        <f aca="false">IF(N134="","",IF(N134&gt;=Ngưỡng!$B$3,1,0))</f>
        <v/>
      </c>
      <c r="U134" s="14" t="n">
        <f aca="false">IF(I134=5,U133+1,0)</f>
        <v>0</v>
      </c>
      <c r="V134" s="14" t="n">
        <f aca="false">IF(AND(F134&lt;&gt;"",F134&gt;=2),V133+1,0)</f>
        <v>0</v>
      </c>
      <c r="W134" s="14" t="n">
        <f aca="false">IF(O134=0,W133+1,0)</f>
        <v>7</v>
      </c>
      <c r="X134" s="14" t="str">
        <f aca="false">IF(OR(E134="",F134=""),"",ROUND((10*(E134-1)+10*(2-MIN(F134,2)))/60*100,0))</f>
        <v/>
      </c>
    </row>
    <row r="135" customFormat="false" ht="15" hidden="false" customHeight="false" outlineLevel="0" collapsed="false">
      <c r="A135" s="4" t="s">
        <v>90</v>
      </c>
      <c r="B135" s="4" t="n">
        <v>8</v>
      </c>
      <c r="C135" s="4" t="n">
        <f aca="false">IF(B135&lt;=7,1,2)</f>
        <v>2</v>
      </c>
      <c r="D135" s="15"/>
      <c r="E135" s="15"/>
      <c r="F135" s="15"/>
      <c r="G135" s="15"/>
      <c r="H135" s="15"/>
      <c r="I135" s="15"/>
      <c r="J135" s="15"/>
      <c r="K135" s="16"/>
      <c r="L135" s="16"/>
      <c r="M135" s="15"/>
      <c r="N135" s="14" t="str">
        <f aca="false">IF(OR(E135="",F135="",G135=""),"",10*(E135-1)+10*(G135-1)+10*(2-MIN(F135,2)))</f>
        <v/>
      </c>
      <c r="O135" s="14" t="n">
        <f aca="false">IF(AND(N135&lt;&gt;"",I135&lt;&gt;""),1,0)</f>
        <v>0</v>
      </c>
      <c r="P135" s="14" t="str">
        <f aca="false">IF(N135="","",IF(N135&lt;Ngưỡng!$B$4,1,0))</f>
        <v/>
      </c>
      <c r="Q135" s="14" t="str">
        <f aca="false">IF(I135="","",IF(I135&gt;=Ngưỡng!$B$5,1,0))</f>
        <v/>
      </c>
      <c r="R135" s="14" t="str">
        <f aca="false">IF(H135="","",IF(H135&lt;&gt;"Yên",1,0))</f>
        <v/>
      </c>
      <c r="S135" s="14" t="str">
        <f aca="false">IF(K135="","",IF(K135&gt;Ngưỡng!$B$6,1,0))</f>
        <v/>
      </c>
      <c r="T135" s="14" t="str">
        <f aca="false">IF(N135="","",IF(N135&gt;=Ngưỡng!$B$3,1,0))</f>
        <v/>
      </c>
      <c r="U135" s="14" t="n">
        <f aca="false">IF(I135=5,U134+1,0)</f>
        <v>0</v>
      </c>
      <c r="V135" s="14" t="n">
        <f aca="false">IF(AND(F135&lt;&gt;"",F135&gt;=2),V134+1,0)</f>
        <v>0</v>
      </c>
      <c r="W135" s="14" t="n">
        <f aca="false">IF(O135=0,W134+1,0)</f>
        <v>8</v>
      </c>
      <c r="X135" s="14" t="str">
        <f aca="false">IF(OR(E135="",F135=""),"",ROUND((10*(E135-1)+10*(2-MIN(F135,2)))/60*100,0))</f>
        <v/>
      </c>
    </row>
    <row r="136" customFormat="false" ht="15" hidden="false" customHeight="false" outlineLevel="0" collapsed="false">
      <c r="A136" s="4" t="s">
        <v>90</v>
      </c>
      <c r="B136" s="4" t="n">
        <v>9</v>
      </c>
      <c r="C136" s="4" t="n">
        <f aca="false">IF(B136&lt;=7,1,2)</f>
        <v>2</v>
      </c>
      <c r="D136" s="15"/>
      <c r="E136" s="15"/>
      <c r="F136" s="15"/>
      <c r="G136" s="15"/>
      <c r="H136" s="15"/>
      <c r="I136" s="15"/>
      <c r="J136" s="15"/>
      <c r="K136" s="16"/>
      <c r="L136" s="16"/>
      <c r="M136" s="15"/>
      <c r="N136" s="14" t="str">
        <f aca="false">IF(OR(E136="",F136="",G136=""),"",10*(E136-1)+10*(G136-1)+10*(2-MIN(F136,2)))</f>
        <v/>
      </c>
      <c r="O136" s="14" t="n">
        <f aca="false">IF(AND(N136&lt;&gt;"",I136&lt;&gt;""),1,0)</f>
        <v>0</v>
      </c>
      <c r="P136" s="14" t="str">
        <f aca="false">IF(N136="","",IF(N136&lt;Ngưỡng!$B$4,1,0))</f>
        <v/>
      </c>
      <c r="Q136" s="14" t="str">
        <f aca="false">IF(I136="","",IF(I136&gt;=Ngưỡng!$B$5,1,0))</f>
        <v/>
      </c>
      <c r="R136" s="14" t="str">
        <f aca="false">IF(H136="","",IF(H136&lt;&gt;"Yên",1,0))</f>
        <v/>
      </c>
      <c r="S136" s="14" t="str">
        <f aca="false">IF(K136="","",IF(K136&gt;Ngưỡng!$B$6,1,0))</f>
        <v/>
      </c>
      <c r="T136" s="14" t="str">
        <f aca="false">IF(N136="","",IF(N136&gt;=Ngưỡng!$B$3,1,0))</f>
        <v/>
      </c>
      <c r="U136" s="14" t="n">
        <f aca="false">IF(I136=5,U135+1,0)</f>
        <v>0</v>
      </c>
      <c r="V136" s="14" t="n">
        <f aca="false">IF(AND(F136&lt;&gt;"",F136&gt;=2),V135+1,0)</f>
        <v>0</v>
      </c>
      <c r="W136" s="14" t="n">
        <f aca="false">IF(O136=0,W135+1,0)</f>
        <v>9</v>
      </c>
      <c r="X136" s="14" t="str">
        <f aca="false">IF(OR(E136="",F136=""),"",ROUND((10*(E136-1)+10*(2-MIN(F136,2)))/60*100,0))</f>
        <v/>
      </c>
    </row>
    <row r="137" customFormat="false" ht="15" hidden="false" customHeight="false" outlineLevel="0" collapsed="false">
      <c r="A137" s="4" t="s">
        <v>90</v>
      </c>
      <c r="B137" s="4" t="n">
        <v>10</v>
      </c>
      <c r="C137" s="4" t="n">
        <f aca="false">IF(B137&lt;=7,1,2)</f>
        <v>2</v>
      </c>
      <c r="D137" s="15"/>
      <c r="E137" s="15"/>
      <c r="F137" s="15"/>
      <c r="G137" s="15"/>
      <c r="H137" s="15"/>
      <c r="I137" s="15"/>
      <c r="J137" s="15"/>
      <c r="K137" s="16"/>
      <c r="L137" s="16"/>
      <c r="M137" s="15"/>
      <c r="N137" s="14" t="str">
        <f aca="false">IF(OR(E137="",F137="",G137=""),"",10*(E137-1)+10*(G137-1)+10*(2-MIN(F137,2)))</f>
        <v/>
      </c>
      <c r="O137" s="14" t="n">
        <f aca="false">IF(AND(N137&lt;&gt;"",I137&lt;&gt;""),1,0)</f>
        <v>0</v>
      </c>
      <c r="P137" s="14" t="str">
        <f aca="false">IF(N137="","",IF(N137&lt;Ngưỡng!$B$4,1,0))</f>
        <v/>
      </c>
      <c r="Q137" s="14" t="str">
        <f aca="false">IF(I137="","",IF(I137&gt;=Ngưỡng!$B$5,1,0))</f>
        <v/>
      </c>
      <c r="R137" s="14" t="str">
        <f aca="false">IF(H137="","",IF(H137&lt;&gt;"Yên",1,0))</f>
        <v/>
      </c>
      <c r="S137" s="14" t="str">
        <f aca="false">IF(K137="","",IF(K137&gt;Ngưỡng!$B$6,1,0))</f>
        <v/>
      </c>
      <c r="T137" s="14" t="str">
        <f aca="false">IF(N137="","",IF(N137&gt;=Ngưỡng!$B$3,1,0))</f>
        <v/>
      </c>
      <c r="U137" s="14" t="n">
        <f aca="false">IF(I137=5,U136+1,0)</f>
        <v>0</v>
      </c>
      <c r="V137" s="14" t="n">
        <f aca="false">IF(AND(F137&lt;&gt;"",F137&gt;=2),V136+1,0)</f>
        <v>0</v>
      </c>
      <c r="W137" s="14" t="n">
        <f aca="false">IF(O137=0,W136+1,0)</f>
        <v>10</v>
      </c>
      <c r="X137" s="14" t="str">
        <f aca="false">IF(OR(E137="",F137=""),"",ROUND((10*(E137-1)+10*(2-MIN(F137,2)))/60*100,0))</f>
        <v/>
      </c>
    </row>
    <row r="138" customFormat="false" ht="15" hidden="false" customHeight="false" outlineLevel="0" collapsed="false">
      <c r="A138" s="4" t="s">
        <v>90</v>
      </c>
      <c r="B138" s="4" t="n">
        <v>11</v>
      </c>
      <c r="C138" s="4" t="n">
        <f aca="false">IF(B138&lt;=7,1,2)</f>
        <v>2</v>
      </c>
      <c r="D138" s="15"/>
      <c r="E138" s="15"/>
      <c r="F138" s="15"/>
      <c r="G138" s="15"/>
      <c r="H138" s="15"/>
      <c r="I138" s="15"/>
      <c r="J138" s="15"/>
      <c r="K138" s="16"/>
      <c r="L138" s="16"/>
      <c r="M138" s="15"/>
      <c r="N138" s="14" t="str">
        <f aca="false">IF(OR(E138="",F138="",G138=""),"",10*(E138-1)+10*(G138-1)+10*(2-MIN(F138,2)))</f>
        <v/>
      </c>
      <c r="O138" s="14" t="n">
        <f aca="false">IF(AND(N138&lt;&gt;"",I138&lt;&gt;""),1,0)</f>
        <v>0</v>
      </c>
      <c r="P138" s="14" t="str">
        <f aca="false">IF(N138="","",IF(N138&lt;Ngưỡng!$B$4,1,0))</f>
        <v/>
      </c>
      <c r="Q138" s="14" t="str">
        <f aca="false">IF(I138="","",IF(I138&gt;=Ngưỡng!$B$5,1,0))</f>
        <v/>
      </c>
      <c r="R138" s="14" t="str">
        <f aca="false">IF(H138="","",IF(H138&lt;&gt;"Yên",1,0))</f>
        <v/>
      </c>
      <c r="S138" s="14" t="str">
        <f aca="false">IF(K138="","",IF(K138&gt;Ngưỡng!$B$6,1,0))</f>
        <v/>
      </c>
      <c r="T138" s="14" t="str">
        <f aca="false">IF(N138="","",IF(N138&gt;=Ngưỡng!$B$3,1,0))</f>
        <v/>
      </c>
      <c r="U138" s="14" t="n">
        <f aca="false">IF(I138=5,U137+1,0)</f>
        <v>0</v>
      </c>
      <c r="V138" s="14" t="n">
        <f aca="false">IF(AND(F138&lt;&gt;"",F138&gt;=2),V137+1,0)</f>
        <v>0</v>
      </c>
      <c r="W138" s="14" t="n">
        <f aca="false">IF(O138=0,W137+1,0)</f>
        <v>11</v>
      </c>
      <c r="X138" s="14" t="str">
        <f aca="false">IF(OR(E138="",F138=""),"",ROUND((10*(E138-1)+10*(2-MIN(F138,2)))/60*100,0))</f>
        <v/>
      </c>
    </row>
    <row r="139" customFormat="false" ht="15" hidden="false" customHeight="false" outlineLevel="0" collapsed="false">
      <c r="A139" s="4" t="s">
        <v>90</v>
      </c>
      <c r="B139" s="4" t="n">
        <v>12</v>
      </c>
      <c r="C139" s="4" t="n">
        <f aca="false">IF(B139&lt;=7,1,2)</f>
        <v>2</v>
      </c>
      <c r="D139" s="15"/>
      <c r="E139" s="15"/>
      <c r="F139" s="15"/>
      <c r="G139" s="15"/>
      <c r="H139" s="15"/>
      <c r="I139" s="15"/>
      <c r="J139" s="15"/>
      <c r="K139" s="16"/>
      <c r="L139" s="16"/>
      <c r="M139" s="15"/>
      <c r="N139" s="14" t="str">
        <f aca="false">IF(OR(E139="",F139="",G139=""),"",10*(E139-1)+10*(G139-1)+10*(2-MIN(F139,2)))</f>
        <v/>
      </c>
      <c r="O139" s="14" t="n">
        <f aca="false">IF(AND(N139&lt;&gt;"",I139&lt;&gt;""),1,0)</f>
        <v>0</v>
      </c>
      <c r="P139" s="14" t="str">
        <f aca="false">IF(N139="","",IF(N139&lt;Ngưỡng!$B$4,1,0))</f>
        <v/>
      </c>
      <c r="Q139" s="14" t="str">
        <f aca="false">IF(I139="","",IF(I139&gt;=Ngưỡng!$B$5,1,0))</f>
        <v/>
      </c>
      <c r="R139" s="14" t="str">
        <f aca="false">IF(H139="","",IF(H139&lt;&gt;"Yên",1,0))</f>
        <v/>
      </c>
      <c r="S139" s="14" t="str">
        <f aca="false">IF(K139="","",IF(K139&gt;Ngưỡng!$B$6,1,0))</f>
        <v/>
      </c>
      <c r="T139" s="14" t="str">
        <f aca="false">IF(N139="","",IF(N139&gt;=Ngưỡng!$B$3,1,0))</f>
        <v/>
      </c>
      <c r="U139" s="14" t="n">
        <f aca="false">IF(I139=5,U138+1,0)</f>
        <v>0</v>
      </c>
      <c r="V139" s="14" t="n">
        <f aca="false">IF(AND(F139&lt;&gt;"",F139&gt;=2),V138+1,0)</f>
        <v>0</v>
      </c>
      <c r="W139" s="14" t="n">
        <f aca="false">IF(O139=0,W138+1,0)</f>
        <v>12</v>
      </c>
      <c r="X139" s="14" t="str">
        <f aca="false">IF(OR(E139="",F139=""),"",ROUND((10*(E139-1)+10*(2-MIN(F139,2)))/60*100,0))</f>
        <v/>
      </c>
    </row>
    <row r="140" customFormat="false" ht="15" hidden="false" customHeight="false" outlineLevel="0" collapsed="false">
      <c r="A140" s="4" t="s">
        <v>90</v>
      </c>
      <c r="B140" s="4" t="n">
        <v>13</v>
      </c>
      <c r="C140" s="4" t="n">
        <f aca="false">IF(B140&lt;=7,1,2)</f>
        <v>2</v>
      </c>
      <c r="D140" s="15"/>
      <c r="E140" s="15"/>
      <c r="F140" s="15"/>
      <c r="G140" s="15"/>
      <c r="H140" s="15"/>
      <c r="I140" s="15"/>
      <c r="J140" s="15"/>
      <c r="K140" s="16"/>
      <c r="L140" s="16"/>
      <c r="M140" s="15"/>
      <c r="N140" s="14" t="str">
        <f aca="false">IF(OR(E140="",F140="",G140=""),"",10*(E140-1)+10*(G140-1)+10*(2-MIN(F140,2)))</f>
        <v/>
      </c>
      <c r="O140" s="14" t="n">
        <f aca="false">IF(AND(N140&lt;&gt;"",I140&lt;&gt;""),1,0)</f>
        <v>0</v>
      </c>
      <c r="P140" s="14" t="str">
        <f aca="false">IF(N140="","",IF(N140&lt;Ngưỡng!$B$4,1,0))</f>
        <v/>
      </c>
      <c r="Q140" s="14" t="str">
        <f aca="false">IF(I140="","",IF(I140&gt;=Ngưỡng!$B$5,1,0))</f>
        <v/>
      </c>
      <c r="R140" s="14" t="str">
        <f aca="false">IF(H140="","",IF(H140&lt;&gt;"Yên",1,0))</f>
        <v/>
      </c>
      <c r="S140" s="14" t="str">
        <f aca="false">IF(K140="","",IF(K140&gt;Ngưỡng!$B$6,1,0))</f>
        <v/>
      </c>
      <c r="T140" s="14" t="str">
        <f aca="false">IF(N140="","",IF(N140&gt;=Ngưỡng!$B$3,1,0))</f>
        <v/>
      </c>
      <c r="U140" s="14" t="n">
        <f aca="false">IF(I140=5,U139+1,0)</f>
        <v>0</v>
      </c>
      <c r="V140" s="14" t="n">
        <f aca="false">IF(AND(F140&lt;&gt;"",F140&gt;=2),V139+1,0)</f>
        <v>0</v>
      </c>
      <c r="W140" s="14" t="n">
        <f aca="false">IF(O140=0,W139+1,0)</f>
        <v>13</v>
      </c>
      <c r="X140" s="14" t="str">
        <f aca="false">IF(OR(E140="",F140=""),"",ROUND((10*(E140-1)+10*(2-MIN(F140,2)))/60*100,0))</f>
        <v/>
      </c>
    </row>
    <row r="141" customFormat="false" ht="15" hidden="false" customHeight="false" outlineLevel="0" collapsed="false">
      <c r="A141" s="4" t="s">
        <v>90</v>
      </c>
      <c r="B141" s="4" t="n">
        <v>14</v>
      </c>
      <c r="C141" s="4" t="n">
        <f aca="false">IF(B141&lt;=7,1,2)</f>
        <v>2</v>
      </c>
      <c r="D141" s="15"/>
      <c r="E141" s="15"/>
      <c r="F141" s="15"/>
      <c r="G141" s="15"/>
      <c r="H141" s="15"/>
      <c r="I141" s="15"/>
      <c r="J141" s="15"/>
      <c r="K141" s="16"/>
      <c r="L141" s="16"/>
      <c r="M141" s="15"/>
      <c r="N141" s="14" t="str">
        <f aca="false">IF(OR(E141="",F141="",G141=""),"",10*(E141-1)+10*(G141-1)+10*(2-MIN(F141,2)))</f>
        <v/>
      </c>
      <c r="O141" s="14" t="n">
        <f aca="false">IF(AND(N141&lt;&gt;"",I141&lt;&gt;""),1,0)</f>
        <v>0</v>
      </c>
      <c r="P141" s="14" t="str">
        <f aca="false">IF(N141="","",IF(N141&lt;Ngưỡng!$B$4,1,0))</f>
        <v/>
      </c>
      <c r="Q141" s="14" t="str">
        <f aca="false">IF(I141="","",IF(I141&gt;=Ngưỡng!$B$5,1,0))</f>
        <v/>
      </c>
      <c r="R141" s="14" t="str">
        <f aca="false">IF(H141="","",IF(H141&lt;&gt;"Yên",1,0))</f>
        <v/>
      </c>
      <c r="S141" s="14" t="str">
        <f aca="false">IF(K141="","",IF(K141&gt;Ngưỡng!$B$6,1,0))</f>
        <v/>
      </c>
      <c r="T141" s="14" t="str">
        <f aca="false">IF(N141="","",IF(N141&gt;=Ngưỡng!$B$3,1,0))</f>
        <v/>
      </c>
      <c r="U141" s="14" t="n">
        <f aca="false">IF(I141=5,U140+1,0)</f>
        <v>0</v>
      </c>
      <c r="V141" s="14" t="n">
        <f aca="false">IF(AND(F141&lt;&gt;"",F141&gt;=2),V140+1,0)</f>
        <v>0</v>
      </c>
      <c r="W141" s="14" t="n">
        <f aca="false">IF(O141=0,W140+1,0)</f>
        <v>14</v>
      </c>
      <c r="X141" s="14" t="str">
        <f aca="false">IF(OR(E141="",F141=""),"",ROUND((10*(E141-1)+10*(2-MIN(F141,2)))/60*100,0))</f>
        <v/>
      </c>
    </row>
    <row r="142" customFormat="false" ht="15" hidden="false" customHeight="false" outlineLevel="0" collapsed="false">
      <c r="A142" s="4" t="s">
        <v>91</v>
      </c>
      <c r="B142" s="4" t="n">
        <v>1</v>
      </c>
      <c r="C142" s="4" t="n">
        <f aca="false">IF(B142&lt;=7,1,2)</f>
        <v>1</v>
      </c>
      <c r="D142" s="15"/>
      <c r="E142" s="15"/>
      <c r="F142" s="15"/>
      <c r="G142" s="15"/>
      <c r="H142" s="15"/>
      <c r="I142" s="15"/>
      <c r="J142" s="15"/>
      <c r="K142" s="16"/>
      <c r="L142" s="16"/>
      <c r="M142" s="15"/>
      <c r="N142" s="14" t="str">
        <f aca="false">IF(OR(E142="",F142="",G142=""),"",10*(E142-1)+10*(G142-1)+10*(2-MIN(F142,2)))</f>
        <v/>
      </c>
      <c r="O142" s="14" t="n">
        <f aca="false">IF(AND(N142&lt;&gt;"",I142&lt;&gt;""),1,0)</f>
        <v>0</v>
      </c>
      <c r="P142" s="14" t="str">
        <f aca="false">IF(N142="","",IF(N142&lt;Ngưỡng!$B$4,1,0))</f>
        <v/>
      </c>
      <c r="Q142" s="14" t="str">
        <f aca="false">IF(I142="","",IF(I142&gt;=Ngưỡng!$B$5,1,0))</f>
        <v/>
      </c>
      <c r="R142" s="14" t="str">
        <f aca="false">IF(H142="","",IF(H142&lt;&gt;"Yên",1,0))</f>
        <v/>
      </c>
      <c r="S142" s="14" t="str">
        <f aca="false">IF(K142="","",IF(K142&gt;Ngưỡng!$B$6,1,0))</f>
        <v/>
      </c>
      <c r="T142" s="14" t="str">
        <f aca="false">IF(N142="","",IF(N142&gt;=Ngưỡng!$B$3,1,0))</f>
        <v/>
      </c>
      <c r="U142" s="14" t="n">
        <f aca="false">IF(I142=5,0+1,0)</f>
        <v>0</v>
      </c>
      <c r="V142" s="14" t="n">
        <f aca="false">IF(AND(F142&lt;&gt;"",F142&gt;=2),0+1,0)</f>
        <v>0</v>
      </c>
      <c r="W142" s="14" t="n">
        <f aca="false">IF(O142=0,0+1,0)</f>
        <v>1</v>
      </c>
      <c r="X142" s="14" t="str">
        <f aca="false">IF(OR(E142="",F142=""),"",ROUND((10*(E142-1)+10*(2-MIN(F142,2)))/60*100,0))</f>
        <v/>
      </c>
    </row>
    <row r="143" customFormat="false" ht="15" hidden="false" customHeight="false" outlineLevel="0" collapsed="false">
      <c r="A143" s="4" t="s">
        <v>91</v>
      </c>
      <c r="B143" s="4" t="n">
        <v>2</v>
      </c>
      <c r="C143" s="4" t="n">
        <f aca="false">IF(B143&lt;=7,1,2)</f>
        <v>1</v>
      </c>
      <c r="D143" s="15"/>
      <c r="E143" s="15"/>
      <c r="F143" s="15"/>
      <c r="G143" s="15"/>
      <c r="H143" s="15"/>
      <c r="I143" s="15"/>
      <c r="J143" s="15"/>
      <c r="K143" s="16"/>
      <c r="L143" s="16"/>
      <c r="M143" s="15"/>
      <c r="N143" s="14" t="str">
        <f aca="false">IF(OR(E143="",F143="",G143=""),"",10*(E143-1)+10*(G143-1)+10*(2-MIN(F143,2)))</f>
        <v/>
      </c>
      <c r="O143" s="14" t="n">
        <f aca="false">IF(AND(N143&lt;&gt;"",I143&lt;&gt;""),1,0)</f>
        <v>0</v>
      </c>
      <c r="P143" s="14" t="str">
        <f aca="false">IF(N143="","",IF(N143&lt;Ngưỡng!$B$4,1,0))</f>
        <v/>
      </c>
      <c r="Q143" s="14" t="str">
        <f aca="false">IF(I143="","",IF(I143&gt;=Ngưỡng!$B$5,1,0))</f>
        <v/>
      </c>
      <c r="R143" s="14" t="str">
        <f aca="false">IF(H143="","",IF(H143&lt;&gt;"Yên",1,0))</f>
        <v/>
      </c>
      <c r="S143" s="14" t="str">
        <f aca="false">IF(K143="","",IF(K143&gt;Ngưỡng!$B$6,1,0))</f>
        <v/>
      </c>
      <c r="T143" s="14" t="str">
        <f aca="false">IF(N143="","",IF(N143&gt;=Ngưỡng!$B$3,1,0))</f>
        <v/>
      </c>
      <c r="U143" s="14" t="n">
        <f aca="false">IF(I143=5,U142+1,0)</f>
        <v>0</v>
      </c>
      <c r="V143" s="14" t="n">
        <f aca="false">IF(AND(F143&lt;&gt;"",F143&gt;=2),V142+1,0)</f>
        <v>0</v>
      </c>
      <c r="W143" s="14" t="n">
        <f aca="false">IF(O143=0,W142+1,0)</f>
        <v>2</v>
      </c>
      <c r="X143" s="14" t="str">
        <f aca="false">IF(OR(E143="",F143=""),"",ROUND((10*(E143-1)+10*(2-MIN(F143,2)))/60*100,0))</f>
        <v/>
      </c>
    </row>
    <row r="144" customFormat="false" ht="15" hidden="false" customHeight="false" outlineLevel="0" collapsed="false">
      <c r="A144" s="4" t="s">
        <v>91</v>
      </c>
      <c r="B144" s="4" t="n">
        <v>3</v>
      </c>
      <c r="C144" s="4" t="n">
        <f aca="false">IF(B144&lt;=7,1,2)</f>
        <v>1</v>
      </c>
      <c r="D144" s="15"/>
      <c r="E144" s="15"/>
      <c r="F144" s="15"/>
      <c r="G144" s="15"/>
      <c r="H144" s="15"/>
      <c r="I144" s="15"/>
      <c r="J144" s="15"/>
      <c r="K144" s="16"/>
      <c r="L144" s="16"/>
      <c r="M144" s="15"/>
      <c r="N144" s="14" t="str">
        <f aca="false">IF(OR(E144="",F144="",G144=""),"",10*(E144-1)+10*(G144-1)+10*(2-MIN(F144,2)))</f>
        <v/>
      </c>
      <c r="O144" s="14" t="n">
        <f aca="false">IF(AND(N144&lt;&gt;"",I144&lt;&gt;""),1,0)</f>
        <v>0</v>
      </c>
      <c r="P144" s="14" t="str">
        <f aca="false">IF(N144="","",IF(N144&lt;Ngưỡng!$B$4,1,0))</f>
        <v/>
      </c>
      <c r="Q144" s="14" t="str">
        <f aca="false">IF(I144="","",IF(I144&gt;=Ngưỡng!$B$5,1,0))</f>
        <v/>
      </c>
      <c r="R144" s="14" t="str">
        <f aca="false">IF(H144="","",IF(H144&lt;&gt;"Yên",1,0))</f>
        <v/>
      </c>
      <c r="S144" s="14" t="str">
        <f aca="false">IF(K144="","",IF(K144&gt;Ngưỡng!$B$6,1,0))</f>
        <v/>
      </c>
      <c r="T144" s="14" t="str">
        <f aca="false">IF(N144="","",IF(N144&gt;=Ngưỡng!$B$3,1,0))</f>
        <v/>
      </c>
      <c r="U144" s="14" t="n">
        <f aca="false">IF(I144=5,U143+1,0)</f>
        <v>0</v>
      </c>
      <c r="V144" s="14" t="n">
        <f aca="false">IF(AND(F144&lt;&gt;"",F144&gt;=2),V143+1,0)</f>
        <v>0</v>
      </c>
      <c r="W144" s="14" t="n">
        <f aca="false">IF(O144=0,W143+1,0)</f>
        <v>3</v>
      </c>
      <c r="X144" s="14" t="str">
        <f aca="false">IF(OR(E144="",F144=""),"",ROUND((10*(E144-1)+10*(2-MIN(F144,2)))/60*100,0))</f>
        <v/>
      </c>
    </row>
    <row r="145" customFormat="false" ht="15" hidden="false" customHeight="false" outlineLevel="0" collapsed="false">
      <c r="A145" s="4" t="s">
        <v>91</v>
      </c>
      <c r="B145" s="4" t="n">
        <v>4</v>
      </c>
      <c r="C145" s="4" t="n">
        <f aca="false">IF(B145&lt;=7,1,2)</f>
        <v>1</v>
      </c>
      <c r="D145" s="15"/>
      <c r="E145" s="15"/>
      <c r="F145" s="15"/>
      <c r="G145" s="15"/>
      <c r="H145" s="15"/>
      <c r="I145" s="15"/>
      <c r="J145" s="15"/>
      <c r="K145" s="16"/>
      <c r="L145" s="16"/>
      <c r="M145" s="15"/>
      <c r="N145" s="14" t="str">
        <f aca="false">IF(OR(E145="",F145="",G145=""),"",10*(E145-1)+10*(G145-1)+10*(2-MIN(F145,2)))</f>
        <v/>
      </c>
      <c r="O145" s="14" t="n">
        <f aca="false">IF(AND(N145&lt;&gt;"",I145&lt;&gt;""),1,0)</f>
        <v>0</v>
      </c>
      <c r="P145" s="14" t="str">
        <f aca="false">IF(N145="","",IF(N145&lt;Ngưỡng!$B$4,1,0))</f>
        <v/>
      </c>
      <c r="Q145" s="14" t="str">
        <f aca="false">IF(I145="","",IF(I145&gt;=Ngưỡng!$B$5,1,0))</f>
        <v/>
      </c>
      <c r="R145" s="14" t="str">
        <f aca="false">IF(H145="","",IF(H145&lt;&gt;"Yên",1,0))</f>
        <v/>
      </c>
      <c r="S145" s="14" t="str">
        <f aca="false">IF(K145="","",IF(K145&gt;Ngưỡng!$B$6,1,0))</f>
        <v/>
      </c>
      <c r="T145" s="14" t="str">
        <f aca="false">IF(N145="","",IF(N145&gt;=Ngưỡng!$B$3,1,0))</f>
        <v/>
      </c>
      <c r="U145" s="14" t="n">
        <f aca="false">IF(I145=5,U144+1,0)</f>
        <v>0</v>
      </c>
      <c r="V145" s="14" t="n">
        <f aca="false">IF(AND(F145&lt;&gt;"",F145&gt;=2),V144+1,0)</f>
        <v>0</v>
      </c>
      <c r="W145" s="14" t="n">
        <f aca="false">IF(O145=0,W144+1,0)</f>
        <v>4</v>
      </c>
      <c r="X145" s="14" t="str">
        <f aca="false">IF(OR(E145="",F145=""),"",ROUND((10*(E145-1)+10*(2-MIN(F145,2)))/60*100,0))</f>
        <v/>
      </c>
    </row>
    <row r="146" customFormat="false" ht="15" hidden="false" customHeight="false" outlineLevel="0" collapsed="false">
      <c r="A146" s="4" t="s">
        <v>91</v>
      </c>
      <c r="B146" s="4" t="n">
        <v>5</v>
      </c>
      <c r="C146" s="4" t="n">
        <f aca="false">IF(B146&lt;=7,1,2)</f>
        <v>1</v>
      </c>
      <c r="D146" s="15"/>
      <c r="E146" s="15"/>
      <c r="F146" s="15"/>
      <c r="G146" s="15"/>
      <c r="H146" s="15"/>
      <c r="I146" s="15"/>
      <c r="J146" s="15"/>
      <c r="K146" s="16"/>
      <c r="L146" s="16"/>
      <c r="M146" s="15"/>
      <c r="N146" s="14" t="str">
        <f aca="false">IF(OR(E146="",F146="",G146=""),"",10*(E146-1)+10*(G146-1)+10*(2-MIN(F146,2)))</f>
        <v/>
      </c>
      <c r="O146" s="14" t="n">
        <f aca="false">IF(AND(N146&lt;&gt;"",I146&lt;&gt;""),1,0)</f>
        <v>0</v>
      </c>
      <c r="P146" s="14" t="str">
        <f aca="false">IF(N146="","",IF(N146&lt;Ngưỡng!$B$4,1,0))</f>
        <v/>
      </c>
      <c r="Q146" s="14" t="str">
        <f aca="false">IF(I146="","",IF(I146&gt;=Ngưỡng!$B$5,1,0))</f>
        <v/>
      </c>
      <c r="R146" s="14" t="str">
        <f aca="false">IF(H146="","",IF(H146&lt;&gt;"Yên",1,0))</f>
        <v/>
      </c>
      <c r="S146" s="14" t="str">
        <f aca="false">IF(K146="","",IF(K146&gt;Ngưỡng!$B$6,1,0))</f>
        <v/>
      </c>
      <c r="T146" s="14" t="str">
        <f aca="false">IF(N146="","",IF(N146&gt;=Ngưỡng!$B$3,1,0))</f>
        <v/>
      </c>
      <c r="U146" s="14" t="n">
        <f aca="false">IF(I146=5,U145+1,0)</f>
        <v>0</v>
      </c>
      <c r="V146" s="14" t="n">
        <f aca="false">IF(AND(F146&lt;&gt;"",F146&gt;=2),V145+1,0)</f>
        <v>0</v>
      </c>
      <c r="W146" s="14" t="n">
        <f aca="false">IF(O146=0,W145+1,0)</f>
        <v>5</v>
      </c>
      <c r="X146" s="14" t="str">
        <f aca="false">IF(OR(E146="",F146=""),"",ROUND((10*(E146-1)+10*(2-MIN(F146,2)))/60*100,0))</f>
        <v/>
      </c>
    </row>
    <row r="147" customFormat="false" ht="15" hidden="false" customHeight="false" outlineLevel="0" collapsed="false">
      <c r="A147" s="4" t="s">
        <v>91</v>
      </c>
      <c r="B147" s="4" t="n">
        <v>6</v>
      </c>
      <c r="C147" s="4" t="n">
        <f aca="false">IF(B147&lt;=7,1,2)</f>
        <v>1</v>
      </c>
      <c r="D147" s="15"/>
      <c r="E147" s="15"/>
      <c r="F147" s="15"/>
      <c r="G147" s="15"/>
      <c r="H147" s="15"/>
      <c r="I147" s="15"/>
      <c r="J147" s="15"/>
      <c r="K147" s="16"/>
      <c r="L147" s="16"/>
      <c r="M147" s="15"/>
      <c r="N147" s="14" t="str">
        <f aca="false">IF(OR(E147="",F147="",G147=""),"",10*(E147-1)+10*(G147-1)+10*(2-MIN(F147,2)))</f>
        <v/>
      </c>
      <c r="O147" s="14" t="n">
        <f aca="false">IF(AND(N147&lt;&gt;"",I147&lt;&gt;""),1,0)</f>
        <v>0</v>
      </c>
      <c r="P147" s="14" t="str">
        <f aca="false">IF(N147="","",IF(N147&lt;Ngưỡng!$B$4,1,0))</f>
        <v/>
      </c>
      <c r="Q147" s="14" t="str">
        <f aca="false">IF(I147="","",IF(I147&gt;=Ngưỡng!$B$5,1,0))</f>
        <v/>
      </c>
      <c r="R147" s="14" t="str">
        <f aca="false">IF(H147="","",IF(H147&lt;&gt;"Yên",1,0))</f>
        <v/>
      </c>
      <c r="S147" s="14" t="str">
        <f aca="false">IF(K147="","",IF(K147&gt;Ngưỡng!$B$6,1,0))</f>
        <v/>
      </c>
      <c r="T147" s="14" t="str">
        <f aca="false">IF(N147="","",IF(N147&gt;=Ngưỡng!$B$3,1,0))</f>
        <v/>
      </c>
      <c r="U147" s="14" t="n">
        <f aca="false">IF(I147=5,U146+1,0)</f>
        <v>0</v>
      </c>
      <c r="V147" s="14" t="n">
        <f aca="false">IF(AND(F147&lt;&gt;"",F147&gt;=2),V146+1,0)</f>
        <v>0</v>
      </c>
      <c r="W147" s="14" t="n">
        <f aca="false">IF(O147=0,W146+1,0)</f>
        <v>6</v>
      </c>
      <c r="X147" s="14" t="str">
        <f aca="false">IF(OR(E147="",F147=""),"",ROUND((10*(E147-1)+10*(2-MIN(F147,2)))/60*100,0))</f>
        <v/>
      </c>
    </row>
    <row r="148" customFormat="false" ht="15" hidden="false" customHeight="false" outlineLevel="0" collapsed="false">
      <c r="A148" s="4" t="s">
        <v>91</v>
      </c>
      <c r="B148" s="4" t="n">
        <v>7</v>
      </c>
      <c r="C148" s="4" t="n">
        <f aca="false">IF(B148&lt;=7,1,2)</f>
        <v>1</v>
      </c>
      <c r="D148" s="15"/>
      <c r="E148" s="15"/>
      <c r="F148" s="15"/>
      <c r="G148" s="15"/>
      <c r="H148" s="15"/>
      <c r="I148" s="15"/>
      <c r="J148" s="15"/>
      <c r="K148" s="16"/>
      <c r="L148" s="16"/>
      <c r="M148" s="15"/>
      <c r="N148" s="14" t="str">
        <f aca="false">IF(OR(E148="",F148="",G148=""),"",10*(E148-1)+10*(G148-1)+10*(2-MIN(F148,2)))</f>
        <v/>
      </c>
      <c r="O148" s="14" t="n">
        <f aca="false">IF(AND(N148&lt;&gt;"",I148&lt;&gt;""),1,0)</f>
        <v>0</v>
      </c>
      <c r="P148" s="14" t="str">
        <f aca="false">IF(N148="","",IF(N148&lt;Ngưỡng!$B$4,1,0))</f>
        <v/>
      </c>
      <c r="Q148" s="14" t="str">
        <f aca="false">IF(I148="","",IF(I148&gt;=Ngưỡng!$B$5,1,0))</f>
        <v/>
      </c>
      <c r="R148" s="14" t="str">
        <f aca="false">IF(H148="","",IF(H148&lt;&gt;"Yên",1,0))</f>
        <v/>
      </c>
      <c r="S148" s="14" t="str">
        <f aca="false">IF(K148="","",IF(K148&gt;Ngưỡng!$B$6,1,0))</f>
        <v/>
      </c>
      <c r="T148" s="14" t="str">
        <f aca="false">IF(N148="","",IF(N148&gt;=Ngưỡng!$B$3,1,0))</f>
        <v/>
      </c>
      <c r="U148" s="14" t="n">
        <f aca="false">IF(I148=5,U147+1,0)</f>
        <v>0</v>
      </c>
      <c r="V148" s="14" t="n">
        <f aca="false">IF(AND(F148&lt;&gt;"",F148&gt;=2),V147+1,0)</f>
        <v>0</v>
      </c>
      <c r="W148" s="14" t="n">
        <f aca="false">IF(O148=0,W147+1,0)</f>
        <v>7</v>
      </c>
      <c r="X148" s="14" t="str">
        <f aca="false">IF(OR(E148="",F148=""),"",ROUND((10*(E148-1)+10*(2-MIN(F148,2)))/60*100,0))</f>
        <v/>
      </c>
    </row>
    <row r="149" customFormat="false" ht="15" hidden="false" customHeight="false" outlineLevel="0" collapsed="false">
      <c r="A149" s="4" t="s">
        <v>91</v>
      </c>
      <c r="B149" s="4" t="n">
        <v>8</v>
      </c>
      <c r="C149" s="4" t="n">
        <f aca="false">IF(B149&lt;=7,1,2)</f>
        <v>2</v>
      </c>
      <c r="D149" s="15"/>
      <c r="E149" s="15"/>
      <c r="F149" s="15"/>
      <c r="G149" s="15"/>
      <c r="H149" s="15"/>
      <c r="I149" s="15"/>
      <c r="J149" s="15"/>
      <c r="K149" s="16"/>
      <c r="L149" s="16"/>
      <c r="M149" s="15"/>
      <c r="N149" s="14" t="str">
        <f aca="false">IF(OR(E149="",F149="",G149=""),"",10*(E149-1)+10*(G149-1)+10*(2-MIN(F149,2)))</f>
        <v/>
      </c>
      <c r="O149" s="14" t="n">
        <f aca="false">IF(AND(N149&lt;&gt;"",I149&lt;&gt;""),1,0)</f>
        <v>0</v>
      </c>
      <c r="P149" s="14" t="str">
        <f aca="false">IF(N149="","",IF(N149&lt;Ngưỡng!$B$4,1,0))</f>
        <v/>
      </c>
      <c r="Q149" s="14" t="str">
        <f aca="false">IF(I149="","",IF(I149&gt;=Ngưỡng!$B$5,1,0))</f>
        <v/>
      </c>
      <c r="R149" s="14" t="str">
        <f aca="false">IF(H149="","",IF(H149&lt;&gt;"Yên",1,0))</f>
        <v/>
      </c>
      <c r="S149" s="14" t="str">
        <f aca="false">IF(K149="","",IF(K149&gt;Ngưỡng!$B$6,1,0))</f>
        <v/>
      </c>
      <c r="T149" s="14" t="str">
        <f aca="false">IF(N149="","",IF(N149&gt;=Ngưỡng!$B$3,1,0))</f>
        <v/>
      </c>
      <c r="U149" s="14" t="n">
        <f aca="false">IF(I149=5,U148+1,0)</f>
        <v>0</v>
      </c>
      <c r="V149" s="14" t="n">
        <f aca="false">IF(AND(F149&lt;&gt;"",F149&gt;=2),V148+1,0)</f>
        <v>0</v>
      </c>
      <c r="W149" s="14" t="n">
        <f aca="false">IF(O149=0,W148+1,0)</f>
        <v>8</v>
      </c>
      <c r="X149" s="14" t="str">
        <f aca="false">IF(OR(E149="",F149=""),"",ROUND((10*(E149-1)+10*(2-MIN(F149,2)))/60*100,0))</f>
        <v/>
      </c>
    </row>
    <row r="150" customFormat="false" ht="15" hidden="false" customHeight="false" outlineLevel="0" collapsed="false">
      <c r="A150" s="4" t="s">
        <v>91</v>
      </c>
      <c r="B150" s="4" t="n">
        <v>9</v>
      </c>
      <c r="C150" s="4" t="n">
        <f aca="false">IF(B150&lt;=7,1,2)</f>
        <v>2</v>
      </c>
      <c r="D150" s="15"/>
      <c r="E150" s="15"/>
      <c r="F150" s="15"/>
      <c r="G150" s="15"/>
      <c r="H150" s="15"/>
      <c r="I150" s="15"/>
      <c r="J150" s="15"/>
      <c r="K150" s="16"/>
      <c r="L150" s="16"/>
      <c r="M150" s="15"/>
      <c r="N150" s="14" t="str">
        <f aca="false">IF(OR(E150="",F150="",G150=""),"",10*(E150-1)+10*(G150-1)+10*(2-MIN(F150,2)))</f>
        <v/>
      </c>
      <c r="O150" s="14" t="n">
        <f aca="false">IF(AND(N150&lt;&gt;"",I150&lt;&gt;""),1,0)</f>
        <v>0</v>
      </c>
      <c r="P150" s="14" t="str">
        <f aca="false">IF(N150="","",IF(N150&lt;Ngưỡng!$B$4,1,0))</f>
        <v/>
      </c>
      <c r="Q150" s="14" t="str">
        <f aca="false">IF(I150="","",IF(I150&gt;=Ngưỡng!$B$5,1,0))</f>
        <v/>
      </c>
      <c r="R150" s="14" t="str">
        <f aca="false">IF(H150="","",IF(H150&lt;&gt;"Yên",1,0))</f>
        <v/>
      </c>
      <c r="S150" s="14" t="str">
        <f aca="false">IF(K150="","",IF(K150&gt;Ngưỡng!$B$6,1,0))</f>
        <v/>
      </c>
      <c r="T150" s="14" t="str">
        <f aca="false">IF(N150="","",IF(N150&gt;=Ngưỡng!$B$3,1,0))</f>
        <v/>
      </c>
      <c r="U150" s="14" t="n">
        <f aca="false">IF(I150=5,U149+1,0)</f>
        <v>0</v>
      </c>
      <c r="V150" s="14" t="n">
        <f aca="false">IF(AND(F150&lt;&gt;"",F150&gt;=2),V149+1,0)</f>
        <v>0</v>
      </c>
      <c r="W150" s="14" t="n">
        <f aca="false">IF(O150=0,W149+1,0)</f>
        <v>9</v>
      </c>
      <c r="X150" s="14" t="str">
        <f aca="false">IF(OR(E150="",F150=""),"",ROUND((10*(E150-1)+10*(2-MIN(F150,2)))/60*100,0))</f>
        <v/>
      </c>
    </row>
    <row r="151" customFormat="false" ht="15" hidden="false" customHeight="false" outlineLevel="0" collapsed="false">
      <c r="A151" s="4" t="s">
        <v>91</v>
      </c>
      <c r="B151" s="4" t="n">
        <v>10</v>
      </c>
      <c r="C151" s="4" t="n">
        <f aca="false">IF(B151&lt;=7,1,2)</f>
        <v>2</v>
      </c>
      <c r="D151" s="15"/>
      <c r="E151" s="15"/>
      <c r="F151" s="15"/>
      <c r="G151" s="15"/>
      <c r="H151" s="15"/>
      <c r="I151" s="15"/>
      <c r="J151" s="15"/>
      <c r="K151" s="16"/>
      <c r="L151" s="16"/>
      <c r="M151" s="15"/>
      <c r="N151" s="14" t="str">
        <f aca="false">IF(OR(E151="",F151="",G151=""),"",10*(E151-1)+10*(G151-1)+10*(2-MIN(F151,2)))</f>
        <v/>
      </c>
      <c r="O151" s="14" t="n">
        <f aca="false">IF(AND(N151&lt;&gt;"",I151&lt;&gt;""),1,0)</f>
        <v>0</v>
      </c>
      <c r="P151" s="14" t="str">
        <f aca="false">IF(N151="","",IF(N151&lt;Ngưỡng!$B$4,1,0))</f>
        <v/>
      </c>
      <c r="Q151" s="14" t="str">
        <f aca="false">IF(I151="","",IF(I151&gt;=Ngưỡng!$B$5,1,0))</f>
        <v/>
      </c>
      <c r="R151" s="14" t="str">
        <f aca="false">IF(H151="","",IF(H151&lt;&gt;"Yên",1,0))</f>
        <v/>
      </c>
      <c r="S151" s="14" t="str">
        <f aca="false">IF(K151="","",IF(K151&gt;Ngưỡng!$B$6,1,0))</f>
        <v/>
      </c>
      <c r="T151" s="14" t="str">
        <f aca="false">IF(N151="","",IF(N151&gt;=Ngưỡng!$B$3,1,0))</f>
        <v/>
      </c>
      <c r="U151" s="14" t="n">
        <f aca="false">IF(I151=5,U150+1,0)</f>
        <v>0</v>
      </c>
      <c r="V151" s="14" t="n">
        <f aca="false">IF(AND(F151&lt;&gt;"",F151&gt;=2),V150+1,0)</f>
        <v>0</v>
      </c>
      <c r="W151" s="14" t="n">
        <f aca="false">IF(O151=0,W150+1,0)</f>
        <v>10</v>
      </c>
      <c r="X151" s="14" t="str">
        <f aca="false">IF(OR(E151="",F151=""),"",ROUND((10*(E151-1)+10*(2-MIN(F151,2)))/60*100,0))</f>
        <v/>
      </c>
    </row>
    <row r="152" customFormat="false" ht="15" hidden="false" customHeight="false" outlineLevel="0" collapsed="false">
      <c r="A152" s="4" t="s">
        <v>91</v>
      </c>
      <c r="B152" s="4" t="n">
        <v>11</v>
      </c>
      <c r="C152" s="4" t="n">
        <f aca="false">IF(B152&lt;=7,1,2)</f>
        <v>2</v>
      </c>
      <c r="D152" s="15"/>
      <c r="E152" s="15"/>
      <c r="F152" s="15"/>
      <c r="G152" s="15"/>
      <c r="H152" s="15"/>
      <c r="I152" s="15"/>
      <c r="J152" s="15"/>
      <c r="K152" s="16"/>
      <c r="L152" s="16"/>
      <c r="M152" s="15"/>
      <c r="N152" s="14" t="str">
        <f aca="false">IF(OR(E152="",F152="",G152=""),"",10*(E152-1)+10*(G152-1)+10*(2-MIN(F152,2)))</f>
        <v/>
      </c>
      <c r="O152" s="14" t="n">
        <f aca="false">IF(AND(N152&lt;&gt;"",I152&lt;&gt;""),1,0)</f>
        <v>0</v>
      </c>
      <c r="P152" s="14" t="str">
        <f aca="false">IF(N152="","",IF(N152&lt;Ngưỡng!$B$4,1,0))</f>
        <v/>
      </c>
      <c r="Q152" s="14" t="str">
        <f aca="false">IF(I152="","",IF(I152&gt;=Ngưỡng!$B$5,1,0))</f>
        <v/>
      </c>
      <c r="R152" s="14" t="str">
        <f aca="false">IF(H152="","",IF(H152&lt;&gt;"Yên",1,0))</f>
        <v/>
      </c>
      <c r="S152" s="14" t="str">
        <f aca="false">IF(K152="","",IF(K152&gt;Ngưỡng!$B$6,1,0))</f>
        <v/>
      </c>
      <c r="T152" s="14" t="str">
        <f aca="false">IF(N152="","",IF(N152&gt;=Ngưỡng!$B$3,1,0))</f>
        <v/>
      </c>
      <c r="U152" s="14" t="n">
        <f aca="false">IF(I152=5,U151+1,0)</f>
        <v>0</v>
      </c>
      <c r="V152" s="14" t="n">
        <f aca="false">IF(AND(F152&lt;&gt;"",F152&gt;=2),V151+1,0)</f>
        <v>0</v>
      </c>
      <c r="W152" s="14" t="n">
        <f aca="false">IF(O152=0,W151+1,0)</f>
        <v>11</v>
      </c>
      <c r="X152" s="14" t="str">
        <f aca="false">IF(OR(E152="",F152=""),"",ROUND((10*(E152-1)+10*(2-MIN(F152,2)))/60*100,0))</f>
        <v/>
      </c>
    </row>
    <row r="153" customFormat="false" ht="15" hidden="false" customHeight="false" outlineLevel="0" collapsed="false">
      <c r="A153" s="4" t="s">
        <v>91</v>
      </c>
      <c r="B153" s="4" t="n">
        <v>12</v>
      </c>
      <c r="C153" s="4" t="n">
        <f aca="false">IF(B153&lt;=7,1,2)</f>
        <v>2</v>
      </c>
      <c r="D153" s="15"/>
      <c r="E153" s="15"/>
      <c r="F153" s="15"/>
      <c r="G153" s="15"/>
      <c r="H153" s="15"/>
      <c r="I153" s="15"/>
      <c r="J153" s="15"/>
      <c r="K153" s="16"/>
      <c r="L153" s="16"/>
      <c r="M153" s="15"/>
      <c r="N153" s="14" t="str">
        <f aca="false">IF(OR(E153="",F153="",G153=""),"",10*(E153-1)+10*(G153-1)+10*(2-MIN(F153,2)))</f>
        <v/>
      </c>
      <c r="O153" s="14" t="n">
        <f aca="false">IF(AND(N153&lt;&gt;"",I153&lt;&gt;""),1,0)</f>
        <v>0</v>
      </c>
      <c r="P153" s="14" t="str">
        <f aca="false">IF(N153="","",IF(N153&lt;Ngưỡng!$B$4,1,0))</f>
        <v/>
      </c>
      <c r="Q153" s="14" t="str">
        <f aca="false">IF(I153="","",IF(I153&gt;=Ngưỡng!$B$5,1,0))</f>
        <v/>
      </c>
      <c r="R153" s="14" t="str">
        <f aca="false">IF(H153="","",IF(H153&lt;&gt;"Yên",1,0))</f>
        <v/>
      </c>
      <c r="S153" s="14" t="str">
        <f aca="false">IF(K153="","",IF(K153&gt;Ngưỡng!$B$6,1,0))</f>
        <v/>
      </c>
      <c r="T153" s="14" t="str">
        <f aca="false">IF(N153="","",IF(N153&gt;=Ngưỡng!$B$3,1,0))</f>
        <v/>
      </c>
      <c r="U153" s="14" t="n">
        <f aca="false">IF(I153=5,U152+1,0)</f>
        <v>0</v>
      </c>
      <c r="V153" s="14" t="n">
        <f aca="false">IF(AND(F153&lt;&gt;"",F153&gt;=2),V152+1,0)</f>
        <v>0</v>
      </c>
      <c r="W153" s="14" t="n">
        <f aca="false">IF(O153=0,W152+1,0)</f>
        <v>12</v>
      </c>
      <c r="X153" s="14" t="str">
        <f aca="false">IF(OR(E153="",F153=""),"",ROUND((10*(E153-1)+10*(2-MIN(F153,2)))/60*100,0))</f>
        <v/>
      </c>
    </row>
    <row r="154" customFormat="false" ht="15" hidden="false" customHeight="false" outlineLevel="0" collapsed="false">
      <c r="A154" s="4" t="s">
        <v>91</v>
      </c>
      <c r="B154" s="4" t="n">
        <v>13</v>
      </c>
      <c r="C154" s="4" t="n">
        <f aca="false">IF(B154&lt;=7,1,2)</f>
        <v>2</v>
      </c>
      <c r="D154" s="15"/>
      <c r="E154" s="15"/>
      <c r="F154" s="15"/>
      <c r="G154" s="15"/>
      <c r="H154" s="15"/>
      <c r="I154" s="15"/>
      <c r="J154" s="15"/>
      <c r="K154" s="16"/>
      <c r="L154" s="16"/>
      <c r="M154" s="15"/>
      <c r="N154" s="14" t="str">
        <f aca="false">IF(OR(E154="",F154="",G154=""),"",10*(E154-1)+10*(G154-1)+10*(2-MIN(F154,2)))</f>
        <v/>
      </c>
      <c r="O154" s="14" t="n">
        <f aca="false">IF(AND(N154&lt;&gt;"",I154&lt;&gt;""),1,0)</f>
        <v>0</v>
      </c>
      <c r="P154" s="14" t="str">
        <f aca="false">IF(N154="","",IF(N154&lt;Ngưỡng!$B$4,1,0))</f>
        <v/>
      </c>
      <c r="Q154" s="14" t="str">
        <f aca="false">IF(I154="","",IF(I154&gt;=Ngưỡng!$B$5,1,0))</f>
        <v/>
      </c>
      <c r="R154" s="14" t="str">
        <f aca="false">IF(H154="","",IF(H154&lt;&gt;"Yên",1,0))</f>
        <v/>
      </c>
      <c r="S154" s="14" t="str">
        <f aca="false">IF(K154="","",IF(K154&gt;Ngưỡng!$B$6,1,0))</f>
        <v/>
      </c>
      <c r="T154" s="14" t="str">
        <f aca="false">IF(N154="","",IF(N154&gt;=Ngưỡng!$B$3,1,0))</f>
        <v/>
      </c>
      <c r="U154" s="14" t="n">
        <f aca="false">IF(I154=5,U153+1,0)</f>
        <v>0</v>
      </c>
      <c r="V154" s="14" t="n">
        <f aca="false">IF(AND(F154&lt;&gt;"",F154&gt;=2),V153+1,0)</f>
        <v>0</v>
      </c>
      <c r="W154" s="14" t="n">
        <f aca="false">IF(O154=0,W153+1,0)</f>
        <v>13</v>
      </c>
      <c r="X154" s="14" t="str">
        <f aca="false">IF(OR(E154="",F154=""),"",ROUND((10*(E154-1)+10*(2-MIN(F154,2)))/60*100,0))</f>
        <v/>
      </c>
    </row>
    <row r="155" customFormat="false" ht="15" hidden="false" customHeight="false" outlineLevel="0" collapsed="false">
      <c r="A155" s="4" t="s">
        <v>91</v>
      </c>
      <c r="B155" s="4" t="n">
        <v>14</v>
      </c>
      <c r="C155" s="4" t="n">
        <f aca="false">IF(B155&lt;=7,1,2)</f>
        <v>2</v>
      </c>
      <c r="D155" s="15"/>
      <c r="E155" s="15"/>
      <c r="F155" s="15"/>
      <c r="G155" s="15"/>
      <c r="H155" s="15"/>
      <c r="I155" s="15"/>
      <c r="J155" s="15"/>
      <c r="K155" s="16"/>
      <c r="L155" s="16"/>
      <c r="M155" s="15"/>
      <c r="N155" s="14" t="str">
        <f aca="false">IF(OR(E155="",F155="",G155=""),"",10*(E155-1)+10*(G155-1)+10*(2-MIN(F155,2)))</f>
        <v/>
      </c>
      <c r="O155" s="14" t="n">
        <f aca="false">IF(AND(N155&lt;&gt;"",I155&lt;&gt;""),1,0)</f>
        <v>0</v>
      </c>
      <c r="P155" s="14" t="str">
        <f aca="false">IF(N155="","",IF(N155&lt;Ngưỡng!$B$4,1,0))</f>
        <v/>
      </c>
      <c r="Q155" s="14" t="str">
        <f aca="false">IF(I155="","",IF(I155&gt;=Ngưỡng!$B$5,1,0))</f>
        <v/>
      </c>
      <c r="R155" s="14" t="str">
        <f aca="false">IF(H155="","",IF(H155&lt;&gt;"Yên",1,0))</f>
        <v/>
      </c>
      <c r="S155" s="14" t="str">
        <f aca="false">IF(K155="","",IF(K155&gt;Ngưỡng!$B$6,1,0))</f>
        <v/>
      </c>
      <c r="T155" s="14" t="str">
        <f aca="false">IF(N155="","",IF(N155&gt;=Ngưỡng!$B$3,1,0))</f>
        <v/>
      </c>
      <c r="U155" s="14" t="n">
        <f aca="false">IF(I155=5,U154+1,0)</f>
        <v>0</v>
      </c>
      <c r="V155" s="14" t="n">
        <f aca="false">IF(AND(F155&lt;&gt;"",F155&gt;=2),V154+1,0)</f>
        <v>0</v>
      </c>
      <c r="W155" s="14" t="n">
        <f aca="false">IF(O155=0,W154+1,0)</f>
        <v>14</v>
      </c>
      <c r="X155" s="14" t="str">
        <f aca="false">IF(OR(E155="",F155=""),"",ROUND((10*(E155-1)+10*(2-MIN(F155,2)))/60*100,0))</f>
        <v/>
      </c>
    </row>
    <row r="156" customFormat="false" ht="15" hidden="false" customHeight="false" outlineLevel="0" collapsed="false">
      <c r="A156" s="4" t="s">
        <v>92</v>
      </c>
      <c r="B156" s="4" t="n">
        <v>1</v>
      </c>
      <c r="C156" s="4" t="n">
        <f aca="false">IF(B156&lt;=7,1,2)</f>
        <v>1</v>
      </c>
      <c r="D156" s="15"/>
      <c r="E156" s="15"/>
      <c r="F156" s="15"/>
      <c r="G156" s="15"/>
      <c r="H156" s="15"/>
      <c r="I156" s="15"/>
      <c r="J156" s="15"/>
      <c r="K156" s="16"/>
      <c r="L156" s="16"/>
      <c r="M156" s="15"/>
      <c r="N156" s="14" t="str">
        <f aca="false">IF(OR(E156="",F156="",G156=""),"",10*(E156-1)+10*(G156-1)+10*(2-MIN(F156,2)))</f>
        <v/>
      </c>
      <c r="O156" s="14" t="n">
        <f aca="false">IF(AND(N156&lt;&gt;"",I156&lt;&gt;""),1,0)</f>
        <v>0</v>
      </c>
      <c r="P156" s="14" t="str">
        <f aca="false">IF(N156="","",IF(N156&lt;Ngưỡng!$B$4,1,0))</f>
        <v/>
      </c>
      <c r="Q156" s="14" t="str">
        <f aca="false">IF(I156="","",IF(I156&gt;=Ngưỡng!$B$5,1,0))</f>
        <v/>
      </c>
      <c r="R156" s="14" t="str">
        <f aca="false">IF(H156="","",IF(H156&lt;&gt;"Yên",1,0))</f>
        <v/>
      </c>
      <c r="S156" s="14" t="str">
        <f aca="false">IF(K156="","",IF(K156&gt;Ngưỡng!$B$6,1,0))</f>
        <v/>
      </c>
      <c r="T156" s="14" t="str">
        <f aca="false">IF(N156="","",IF(N156&gt;=Ngưỡng!$B$3,1,0))</f>
        <v/>
      </c>
      <c r="U156" s="14" t="n">
        <f aca="false">IF(I156=5,0+1,0)</f>
        <v>0</v>
      </c>
      <c r="V156" s="14" t="n">
        <f aca="false">IF(AND(F156&lt;&gt;"",F156&gt;=2),0+1,0)</f>
        <v>0</v>
      </c>
      <c r="W156" s="14" t="n">
        <f aca="false">IF(O156=0,0+1,0)</f>
        <v>1</v>
      </c>
      <c r="X156" s="14" t="str">
        <f aca="false">IF(OR(E156="",F156=""),"",ROUND((10*(E156-1)+10*(2-MIN(F156,2)))/60*100,0))</f>
        <v/>
      </c>
    </row>
    <row r="157" customFormat="false" ht="15" hidden="false" customHeight="false" outlineLevel="0" collapsed="false">
      <c r="A157" s="4" t="s">
        <v>92</v>
      </c>
      <c r="B157" s="4" t="n">
        <v>2</v>
      </c>
      <c r="C157" s="4" t="n">
        <f aca="false">IF(B157&lt;=7,1,2)</f>
        <v>1</v>
      </c>
      <c r="D157" s="15"/>
      <c r="E157" s="15"/>
      <c r="F157" s="15"/>
      <c r="G157" s="15"/>
      <c r="H157" s="15"/>
      <c r="I157" s="15"/>
      <c r="J157" s="15"/>
      <c r="K157" s="16"/>
      <c r="L157" s="16"/>
      <c r="M157" s="15"/>
      <c r="N157" s="14" t="str">
        <f aca="false">IF(OR(E157="",F157="",G157=""),"",10*(E157-1)+10*(G157-1)+10*(2-MIN(F157,2)))</f>
        <v/>
      </c>
      <c r="O157" s="14" t="n">
        <f aca="false">IF(AND(N157&lt;&gt;"",I157&lt;&gt;""),1,0)</f>
        <v>0</v>
      </c>
      <c r="P157" s="14" t="str">
        <f aca="false">IF(N157="","",IF(N157&lt;Ngưỡng!$B$4,1,0))</f>
        <v/>
      </c>
      <c r="Q157" s="14" t="str">
        <f aca="false">IF(I157="","",IF(I157&gt;=Ngưỡng!$B$5,1,0))</f>
        <v/>
      </c>
      <c r="R157" s="14" t="str">
        <f aca="false">IF(H157="","",IF(H157&lt;&gt;"Yên",1,0))</f>
        <v/>
      </c>
      <c r="S157" s="14" t="str">
        <f aca="false">IF(K157="","",IF(K157&gt;Ngưỡng!$B$6,1,0))</f>
        <v/>
      </c>
      <c r="T157" s="14" t="str">
        <f aca="false">IF(N157="","",IF(N157&gt;=Ngưỡng!$B$3,1,0))</f>
        <v/>
      </c>
      <c r="U157" s="14" t="n">
        <f aca="false">IF(I157=5,U156+1,0)</f>
        <v>0</v>
      </c>
      <c r="V157" s="14" t="n">
        <f aca="false">IF(AND(F157&lt;&gt;"",F157&gt;=2),V156+1,0)</f>
        <v>0</v>
      </c>
      <c r="W157" s="14" t="n">
        <f aca="false">IF(O157=0,W156+1,0)</f>
        <v>2</v>
      </c>
      <c r="X157" s="14" t="str">
        <f aca="false">IF(OR(E157="",F157=""),"",ROUND((10*(E157-1)+10*(2-MIN(F157,2)))/60*100,0))</f>
        <v/>
      </c>
    </row>
    <row r="158" customFormat="false" ht="15" hidden="false" customHeight="false" outlineLevel="0" collapsed="false">
      <c r="A158" s="4" t="s">
        <v>92</v>
      </c>
      <c r="B158" s="4" t="n">
        <v>3</v>
      </c>
      <c r="C158" s="4" t="n">
        <f aca="false">IF(B158&lt;=7,1,2)</f>
        <v>1</v>
      </c>
      <c r="D158" s="15"/>
      <c r="E158" s="15"/>
      <c r="F158" s="15"/>
      <c r="G158" s="15"/>
      <c r="H158" s="15"/>
      <c r="I158" s="15"/>
      <c r="J158" s="15"/>
      <c r="K158" s="16"/>
      <c r="L158" s="16"/>
      <c r="M158" s="15"/>
      <c r="N158" s="14" t="str">
        <f aca="false">IF(OR(E158="",F158="",G158=""),"",10*(E158-1)+10*(G158-1)+10*(2-MIN(F158,2)))</f>
        <v/>
      </c>
      <c r="O158" s="14" t="n">
        <f aca="false">IF(AND(N158&lt;&gt;"",I158&lt;&gt;""),1,0)</f>
        <v>0</v>
      </c>
      <c r="P158" s="14" t="str">
        <f aca="false">IF(N158="","",IF(N158&lt;Ngưỡng!$B$4,1,0))</f>
        <v/>
      </c>
      <c r="Q158" s="14" t="str">
        <f aca="false">IF(I158="","",IF(I158&gt;=Ngưỡng!$B$5,1,0))</f>
        <v/>
      </c>
      <c r="R158" s="14" t="str">
        <f aca="false">IF(H158="","",IF(H158&lt;&gt;"Yên",1,0))</f>
        <v/>
      </c>
      <c r="S158" s="14" t="str">
        <f aca="false">IF(K158="","",IF(K158&gt;Ngưỡng!$B$6,1,0))</f>
        <v/>
      </c>
      <c r="T158" s="14" t="str">
        <f aca="false">IF(N158="","",IF(N158&gt;=Ngưỡng!$B$3,1,0))</f>
        <v/>
      </c>
      <c r="U158" s="14" t="n">
        <f aca="false">IF(I158=5,U157+1,0)</f>
        <v>0</v>
      </c>
      <c r="V158" s="14" t="n">
        <f aca="false">IF(AND(F158&lt;&gt;"",F158&gt;=2),V157+1,0)</f>
        <v>0</v>
      </c>
      <c r="W158" s="14" t="n">
        <f aca="false">IF(O158=0,W157+1,0)</f>
        <v>3</v>
      </c>
      <c r="X158" s="14" t="str">
        <f aca="false">IF(OR(E158="",F158=""),"",ROUND((10*(E158-1)+10*(2-MIN(F158,2)))/60*100,0))</f>
        <v/>
      </c>
    </row>
    <row r="159" customFormat="false" ht="15" hidden="false" customHeight="false" outlineLevel="0" collapsed="false">
      <c r="A159" s="4" t="s">
        <v>92</v>
      </c>
      <c r="B159" s="4" t="n">
        <v>4</v>
      </c>
      <c r="C159" s="4" t="n">
        <f aca="false">IF(B159&lt;=7,1,2)</f>
        <v>1</v>
      </c>
      <c r="D159" s="15"/>
      <c r="E159" s="15"/>
      <c r="F159" s="15"/>
      <c r="G159" s="15"/>
      <c r="H159" s="15"/>
      <c r="I159" s="15"/>
      <c r="J159" s="15"/>
      <c r="K159" s="16"/>
      <c r="L159" s="16"/>
      <c r="M159" s="15"/>
      <c r="N159" s="14" t="str">
        <f aca="false">IF(OR(E159="",F159="",G159=""),"",10*(E159-1)+10*(G159-1)+10*(2-MIN(F159,2)))</f>
        <v/>
      </c>
      <c r="O159" s="14" t="n">
        <f aca="false">IF(AND(N159&lt;&gt;"",I159&lt;&gt;""),1,0)</f>
        <v>0</v>
      </c>
      <c r="P159" s="14" t="str">
        <f aca="false">IF(N159="","",IF(N159&lt;Ngưỡng!$B$4,1,0))</f>
        <v/>
      </c>
      <c r="Q159" s="14" t="str">
        <f aca="false">IF(I159="","",IF(I159&gt;=Ngưỡng!$B$5,1,0))</f>
        <v/>
      </c>
      <c r="R159" s="14" t="str">
        <f aca="false">IF(H159="","",IF(H159&lt;&gt;"Yên",1,0))</f>
        <v/>
      </c>
      <c r="S159" s="14" t="str">
        <f aca="false">IF(K159="","",IF(K159&gt;Ngưỡng!$B$6,1,0))</f>
        <v/>
      </c>
      <c r="T159" s="14" t="str">
        <f aca="false">IF(N159="","",IF(N159&gt;=Ngưỡng!$B$3,1,0))</f>
        <v/>
      </c>
      <c r="U159" s="14" t="n">
        <f aca="false">IF(I159=5,U158+1,0)</f>
        <v>0</v>
      </c>
      <c r="V159" s="14" t="n">
        <f aca="false">IF(AND(F159&lt;&gt;"",F159&gt;=2),V158+1,0)</f>
        <v>0</v>
      </c>
      <c r="W159" s="14" t="n">
        <f aca="false">IF(O159=0,W158+1,0)</f>
        <v>4</v>
      </c>
      <c r="X159" s="14" t="str">
        <f aca="false">IF(OR(E159="",F159=""),"",ROUND((10*(E159-1)+10*(2-MIN(F159,2)))/60*100,0))</f>
        <v/>
      </c>
    </row>
    <row r="160" customFormat="false" ht="15" hidden="false" customHeight="false" outlineLevel="0" collapsed="false">
      <c r="A160" s="4" t="s">
        <v>92</v>
      </c>
      <c r="B160" s="4" t="n">
        <v>5</v>
      </c>
      <c r="C160" s="4" t="n">
        <f aca="false">IF(B160&lt;=7,1,2)</f>
        <v>1</v>
      </c>
      <c r="D160" s="15"/>
      <c r="E160" s="15"/>
      <c r="F160" s="15"/>
      <c r="G160" s="15"/>
      <c r="H160" s="15"/>
      <c r="I160" s="15"/>
      <c r="J160" s="15"/>
      <c r="K160" s="16"/>
      <c r="L160" s="16"/>
      <c r="M160" s="15"/>
      <c r="N160" s="14" t="str">
        <f aca="false">IF(OR(E160="",F160="",G160=""),"",10*(E160-1)+10*(G160-1)+10*(2-MIN(F160,2)))</f>
        <v/>
      </c>
      <c r="O160" s="14" t="n">
        <f aca="false">IF(AND(N160&lt;&gt;"",I160&lt;&gt;""),1,0)</f>
        <v>0</v>
      </c>
      <c r="P160" s="14" t="str">
        <f aca="false">IF(N160="","",IF(N160&lt;Ngưỡng!$B$4,1,0))</f>
        <v/>
      </c>
      <c r="Q160" s="14" t="str">
        <f aca="false">IF(I160="","",IF(I160&gt;=Ngưỡng!$B$5,1,0))</f>
        <v/>
      </c>
      <c r="R160" s="14" t="str">
        <f aca="false">IF(H160="","",IF(H160&lt;&gt;"Yên",1,0))</f>
        <v/>
      </c>
      <c r="S160" s="14" t="str">
        <f aca="false">IF(K160="","",IF(K160&gt;Ngưỡng!$B$6,1,0))</f>
        <v/>
      </c>
      <c r="T160" s="14" t="str">
        <f aca="false">IF(N160="","",IF(N160&gt;=Ngưỡng!$B$3,1,0))</f>
        <v/>
      </c>
      <c r="U160" s="14" t="n">
        <f aca="false">IF(I160=5,U159+1,0)</f>
        <v>0</v>
      </c>
      <c r="V160" s="14" t="n">
        <f aca="false">IF(AND(F160&lt;&gt;"",F160&gt;=2),V159+1,0)</f>
        <v>0</v>
      </c>
      <c r="W160" s="14" t="n">
        <f aca="false">IF(O160=0,W159+1,0)</f>
        <v>5</v>
      </c>
      <c r="X160" s="14" t="str">
        <f aca="false">IF(OR(E160="",F160=""),"",ROUND((10*(E160-1)+10*(2-MIN(F160,2)))/60*100,0))</f>
        <v/>
      </c>
    </row>
    <row r="161" customFormat="false" ht="15" hidden="false" customHeight="false" outlineLevel="0" collapsed="false">
      <c r="A161" s="4" t="s">
        <v>92</v>
      </c>
      <c r="B161" s="4" t="n">
        <v>6</v>
      </c>
      <c r="C161" s="4" t="n">
        <f aca="false">IF(B161&lt;=7,1,2)</f>
        <v>1</v>
      </c>
      <c r="D161" s="15"/>
      <c r="E161" s="15"/>
      <c r="F161" s="15"/>
      <c r="G161" s="15"/>
      <c r="H161" s="15"/>
      <c r="I161" s="15"/>
      <c r="J161" s="15"/>
      <c r="K161" s="16"/>
      <c r="L161" s="16"/>
      <c r="M161" s="15"/>
      <c r="N161" s="14" t="str">
        <f aca="false">IF(OR(E161="",F161="",G161=""),"",10*(E161-1)+10*(G161-1)+10*(2-MIN(F161,2)))</f>
        <v/>
      </c>
      <c r="O161" s="14" t="n">
        <f aca="false">IF(AND(N161&lt;&gt;"",I161&lt;&gt;""),1,0)</f>
        <v>0</v>
      </c>
      <c r="P161" s="14" t="str">
        <f aca="false">IF(N161="","",IF(N161&lt;Ngưỡng!$B$4,1,0))</f>
        <v/>
      </c>
      <c r="Q161" s="14" t="str">
        <f aca="false">IF(I161="","",IF(I161&gt;=Ngưỡng!$B$5,1,0))</f>
        <v/>
      </c>
      <c r="R161" s="14" t="str">
        <f aca="false">IF(H161="","",IF(H161&lt;&gt;"Yên",1,0))</f>
        <v/>
      </c>
      <c r="S161" s="14" t="str">
        <f aca="false">IF(K161="","",IF(K161&gt;Ngưỡng!$B$6,1,0))</f>
        <v/>
      </c>
      <c r="T161" s="14" t="str">
        <f aca="false">IF(N161="","",IF(N161&gt;=Ngưỡng!$B$3,1,0))</f>
        <v/>
      </c>
      <c r="U161" s="14" t="n">
        <f aca="false">IF(I161=5,U160+1,0)</f>
        <v>0</v>
      </c>
      <c r="V161" s="14" t="n">
        <f aca="false">IF(AND(F161&lt;&gt;"",F161&gt;=2),V160+1,0)</f>
        <v>0</v>
      </c>
      <c r="W161" s="14" t="n">
        <f aca="false">IF(O161=0,W160+1,0)</f>
        <v>6</v>
      </c>
      <c r="X161" s="14" t="str">
        <f aca="false">IF(OR(E161="",F161=""),"",ROUND((10*(E161-1)+10*(2-MIN(F161,2)))/60*100,0))</f>
        <v/>
      </c>
    </row>
    <row r="162" customFormat="false" ht="15" hidden="false" customHeight="false" outlineLevel="0" collapsed="false">
      <c r="A162" s="4" t="s">
        <v>92</v>
      </c>
      <c r="B162" s="4" t="n">
        <v>7</v>
      </c>
      <c r="C162" s="4" t="n">
        <f aca="false">IF(B162&lt;=7,1,2)</f>
        <v>1</v>
      </c>
      <c r="D162" s="15"/>
      <c r="E162" s="15"/>
      <c r="F162" s="15"/>
      <c r="G162" s="15"/>
      <c r="H162" s="15"/>
      <c r="I162" s="15"/>
      <c r="J162" s="15"/>
      <c r="K162" s="16"/>
      <c r="L162" s="16"/>
      <c r="M162" s="15"/>
      <c r="N162" s="14" t="str">
        <f aca="false">IF(OR(E162="",F162="",G162=""),"",10*(E162-1)+10*(G162-1)+10*(2-MIN(F162,2)))</f>
        <v/>
      </c>
      <c r="O162" s="14" t="n">
        <f aca="false">IF(AND(N162&lt;&gt;"",I162&lt;&gt;""),1,0)</f>
        <v>0</v>
      </c>
      <c r="P162" s="14" t="str">
        <f aca="false">IF(N162="","",IF(N162&lt;Ngưỡng!$B$4,1,0))</f>
        <v/>
      </c>
      <c r="Q162" s="14" t="str">
        <f aca="false">IF(I162="","",IF(I162&gt;=Ngưỡng!$B$5,1,0))</f>
        <v/>
      </c>
      <c r="R162" s="14" t="str">
        <f aca="false">IF(H162="","",IF(H162&lt;&gt;"Yên",1,0))</f>
        <v/>
      </c>
      <c r="S162" s="14" t="str">
        <f aca="false">IF(K162="","",IF(K162&gt;Ngưỡng!$B$6,1,0))</f>
        <v/>
      </c>
      <c r="T162" s="14" t="str">
        <f aca="false">IF(N162="","",IF(N162&gt;=Ngưỡng!$B$3,1,0))</f>
        <v/>
      </c>
      <c r="U162" s="14" t="n">
        <f aca="false">IF(I162=5,U161+1,0)</f>
        <v>0</v>
      </c>
      <c r="V162" s="14" t="n">
        <f aca="false">IF(AND(F162&lt;&gt;"",F162&gt;=2),V161+1,0)</f>
        <v>0</v>
      </c>
      <c r="W162" s="14" t="n">
        <f aca="false">IF(O162=0,W161+1,0)</f>
        <v>7</v>
      </c>
      <c r="X162" s="14" t="str">
        <f aca="false">IF(OR(E162="",F162=""),"",ROUND((10*(E162-1)+10*(2-MIN(F162,2)))/60*100,0))</f>
        <v/>
      </c>
    </row>
    <row r="163" customFormat="false" ht="15" hidden="false" customHeight="false" outlineLevel="0" collapsed="false">
      <c r="A163" s="4" t="s">
        <v>92</v>
      </c>
      <c r="B163" s="4" t="n">
        <v>8</v>
      </c>
      <c r="C163" s="4" t="n">
        <f aca="false">IF(B163&lt;=7,1,2)</f>
        <v>2</v>
      </c>
      <c r="D163" s="15"/>
      <c r="E163" s="15"/>
      <c r="F163" s="15"/>
      <c r="G163" s="15"/>
      <c r="H163" s="15"/>
      <c r="I163" s="15"/>
      <c r="J163" s="15"/>
      <c r="K163" s="16"/>
      <c r="L163" s="16"/>
      <c r="M163" s="15"/>
      <c r="N163" s="14" t="str">
        <f aca="false">IF(OR(E163="",F163="",G163=""),"",10*(E163-1)+10*(G163-1)+10*(2-MIN(F163,2)))</f>
        <v/>
      </c>
      <c r="O163" s="14" t="n">
        <f aca="false">IF(AND(N163&lt;&gt;"",I163&lt;&gt;""),1,0)</f>
        <v>0</v>
      </c>
      <c r="P163" s="14" t="str">
        <f aca="false">IF(N163="","",IF(N163&lt;Ngưỡng!$B$4,1,0))</f>
        <v/>
      </c>
      <c r="Q163" s="14" t="str">
        <f aca="false">IF(I163="","",IF(I163&gt;=Ngưỡng!$B$5,1,0))</f>
        <v/>
      </c>
      <c r="R163" s="14" t="str">
        <f aca="false">IF(H163="","",IF(H163&lt;&gt;"Yên",1,0))</f>
        <v/>
      </c>
      <c r="S163" s="14" t="str">
        <f aca="false">IF(K163="","",IF(K163&gt;Ngưỡng!$B$6,1,0))</f>
        <v/>
      </c>
      <c r="T163" s="14" t="str">
        <f aca="false">IF(N163="","",IF(N163&gt;=Ngưỡng!$B$3,1,0))</f>
        <v/>
      </c>
      <c r="U163" s="14" t="n">
        <f aca="false">IF(I163=5,U162+1,0)</f>
        <v>0</v>
      </c>
      <c r="V163" s="14" t="n">
        <f aca="false">IF(AND(F163&lt;&gt;"",F163&gt;=2),V162+1,0)</f>
        <v>0</v>
      </c>
      <c r="W163" s="14" t="n">
        <f aca="false">IF(O163=0,W162+1,0)</f>
        <v>8</v>
      </c>
      <c r="X163" s="14" t="str">
        <f aca="false">IF(OR(E163="",F163=""),"",ROUND((10*(E163-1)+10*(2-MIN(F163,2)))/60*100,0))</f>
        <v/>
      </c>
    </row>
    <row r="164" customFormat="false" ht="15" hidden="false" customHeight="false" outlineLevel="0" collapsed="false">
      <c r="A164" s="4" t="s">
        <v>92</v>
      </c>
      <c r="B164" s="4" t="n">
        <v>9</v>
      </c>
      <c r="C164" s="4" t="n">
        <f aca="false">IF(B164&lt;=7,1,2)</f>
        <v>2</v>
      </c>
      <c r="D164" s="15"/>
      <c r="E164" s="15"/>
      <c r="F164" s="15"/>
      <c r="G164" s="15"/>
      <c r="H164" s="15"/>
      <c r="I164" s="15"/>
      <c r="J164" s="15"/>
      <c r="K164" s="16"/>
      <c r="L164" s="16"/>
      <c r="M164" s="15"/>
      <c r="N164" s="14" t="str">
        <f aca="false">IF(OR(E164="",F164="",G164=""),"",10*(E164-1)+10*(G164-1)+10*(2-MIN(F164,2)))</f>
        <v/>
      </c>
      <c r="O164" s="14" t="n">
        <f aca="false">IF(AND(N164&lt;&gt;"",I164&lt;&gt;""),1,0)</f>
        <v>0</v>
      </c>
      <c r="P164" s="14" t="str">
        <f aca="false">IF(N164="","",IF(N164&lt;Ngưỡng!$B$4,1,0))</f>
        <v/>
      </c>
      <c r="Q164" s="14" t="str">
        <f aca="false">IF(I164="","",IF(I164&gt;=Ngưỡng!$B$5,1,0))</f>
        <v/>
      </c>
      <c r="R164" s="14" t="str">
        <f aca="false">IF(H164="","",IF(H164&lt;&gt;"Yên",1,0))</f>
        <v/>
      </c>
      <c r="S164" s="14" t="str">
        <f aca="false">IF(K164="","",IF(K164&gt;Ngưỡng!$B$6,1,0))</f>
        <v/>
      </c>
      <c r="T164" s="14" t="str">
        <f aca="false">IF(N164="","",IF(N164&gt;=Ngưỡng!$B$3,1,0))</f>
        <v/>
      </c>
      <c r="U164" s="14" t="n">
        <f aca="false">IF(I164=5,U163+1,0)</f>
        <v>0</v>
      </c>
      <c r="V164" s="14" t="n">
        <f aca="false">IF(AND(F164&lt;&gt;"",F164&gt;=2),V163+1,0)</f>
        <v>0</v>
      </c>
      <c r="W164" s="14" t="n">
        <f aca="false">IF(O164=0,W163+1,0)</f>
        <v>9</v>
      </c>
      <c r="X164" s="14" t="str">
        <f aca="false">IF(OR(E164="",F164=""),"",ROUND((10*(E164-1)+10*(2-MIN(F164,2)))/60*100,0))</f>
        <v/>
      </c>
    </row>
    <row r="165" customFormat="false" ht="15" hidden="false" customHeight="false" outlineLevel="0" collapsed="false">
      <c r="A165" s="4" t="s">
        <v>92</v>
      </c>
      <c r="B165" s="4" t="n">
        <v>10</v>
      </c>
      <c r="C165" s="4" t="n">
        <f aca="false">IF(B165&lt;=7,1,2)</f>
        <v>2</v>
      </c>
      <c r="D165" s="15"/>
      <c r="E165" s="15"/>
      <c r="F165" s="15"/>
      <c r="G165" s="15"/>
      <c r="H165" s="15"/>
      <c r="I165" s="15"/>
      <c r="J165" s="15"/>
      <c r="K165" s="16"/>
      <c r="L165" s="16"/>
      <c r="M165" s="15"/>
      <c r="N165" s="14" t="str">
        <f aca="false">IF(OR(E165="",F165="",G165=""),"",10*(E165-1)+10*(G165-1)+10*(2-MIN(F165,2)))</f>
        <v/>
      </c>
      <c r="O165" s="14" t="n">
        <f aca="false">IF(AND(N165&lt;&gt;"",I165&lt;&gt;""),1,0)</f>
        <v>0</v>
      </c>
      <c r="P165" s="14" t="str">
        <f aca="false">IF(N165="","",IF(N165&lt;Ngưỡng!$B$4,1,0))</f>
        <v/>
      </c>
      <c r="Q165" s="14" t="str">
        <f aca="false">IF(I165="","",IF(I165&gt;=Ngưỡng!$B$5,1,0))</f>
        <v/>
      </c>
      <c r="R165" s="14" t="str">
        <f aca="false">IF(H165="","",IF(H165&lt;&gt;"Yên",1,0))</f>
        <v/>
      </c>
      <c r="S165" s="14" t="str">
        <f aca="false">IF(K165="","",IF(K165&gt;Ngưỡng!$B$6,1,0))</f>
        <v/>
      </c>
      <c r="T165" s="14" t="str">
        <f aca="false">IF(N165="","",IF(N165&gt;=Ngưỡng!$B$3,1,0))</f>
        <v/>
      </c>
      <c r="U165" s="14" t="n">
        <f aca="false">IF(I165=5,U164+1,0)</f>
        <v>0</v>
      </c>
      <c r="V165" s="14" t="n">
        <f aca="false">IF(AND(F165&lt;&gt;"",F165&gt;=2),V164+1,0)</f>
        <v>0</v>
      </c>
      <c r="W165" s="14" t="n">
        <f aca="false">IF(O165=0,W164+1,0)</f>
        <v>10</v>
      </c>
      <c r="X165" s="14" t="str">
        <f aca="false">IF(OR(E165="",F165=""),"",ROUND((10*(E165-1)+10*(2-MIN(F165,2)))/60*100,0))</f>
        <v/>
      </c>
    </row>
    <row r="166" customFormat="false" ht="15" hidden="false" customHeight="false" outlineLevel="0" collapsed="false">
      <c r="A166" s="4" t="s">
        <v>92</v>
      </c>
      <c r="B166" s="4" t="n">
        <v>11</v>
      </c>
      <c r="C166" s="4" t="n">
        <f aca="false">IF(B166&lt;=7,1,2)</f>
        <v>2</v>
      </c>
      <c r="D166" s="15"/>
      <c r="E166" s="15"/>
      <c r="F166" s="15"/>
      <c r="G166" s="15"/>
      <c r="H166" s="15"/>
      <c r="I166" s="15"/>
      <c r="J166" s="15"/>
      <c r="K166" s="16"/>
      <c r="L166" s="16"/>
      <c r="M166" s="15"/>
      <c r="N166" s="14" t="str">
        <f aca="false">IF(OR(E166="",F166="",G166=""),"",10*(E166-1)+10*(G166-1)+10*(2-MIN(F166,2)))</f>
        <v/>
      </c>
      <c r="O166" s="14" t="n">
        <f aca="false">IF(AND(N166&lt;&gt;"",I166&lt;&gt;""),1,0)</f>
        <v>0</v>
      </c>
      <c r="P166" s="14" t="str">
        <f aca="false">IF(N166="","",IF(N166&lt;Ngưỡng!$B$4,1,0))</f>
        <v/>
      </c>
      <c r="Q166" s="14" t="str">
        <f aca="false">IF(I166="","",IF(I166&gt;=Ngưỡng!$B$5,1,0))</f>
        <v/>
      </c>
      <c r="R166" s="14" t="str">
        <f aca="false">IF(H166="","",IF(H166&lt;&gt;"Yên",1,0))</f>
        <v/>
      </c>
      <c r="S166" s="14" t="str">
        <f aca="false">IF(K166="","",IF(K166&gt;Ngưỡng!$B$6,1,0))</f>
        <v/>
      </c>
      <c r="T166" s="14" t="str">
        <f aca="false">IF(N166="","",IF(N166&gt;=Ngưỡng!$B$3,1,0))</f>
        <v/>
      </c>
      <c r="U166" s="14" t="n">
        <f aca="false">IF(I166=5,U165+1,0)</f>
        <v>0</v>
      </c>
      <c r="V166" s="14" t="n">
        <f aca="false">IF(AND(F166&lt;&gt;"",F166&gt;=2),V165+1,0)</f>
        <v>0</v>
      </c>
      <c r="W166" s="14" t="n">
        <f aca="false">IF(O166=0,W165+1,0)</f>
        <v>11</v>
      </c>
      <c r="X166" s="14" t="str">
        <f aca="false">IF(OR(E166="",F166=""),"",ROUND((10*(E166-1)+10*(2-MIN(F166,2)))/60*100,0))</f>
        <v/>
      </c>
    </row>
    <row r="167" customFormat="false" ht="15" hidden="false" customHeight="false" outlineLevel="0" collapsed="false">
      <c r="A167" s="4" t="s">
        <v>92</v>
      </c>
      <c r="B167" s="4" t="n">
        <v>12</v>
      </c>
      <c r="C167" s="4" t="n">
        <f aca="false">IF(B167&lt;=7,1,2)</f>
        <v>2</v>
      </c>
      <c r="D167" s="15"/>
      <c r="E167" s="15"/>
      <c r="F167" s="15"/>
      <c r="G167" s="15"/>
      <c r="H167" s="15"/>
      <c r="I167" s="15"/>
      <c r="J167" s="15"/>
      <c r="K167" s="16"/>
      <c r="L167" s="16"/>
      <c r="M167" s="15"/>
      <c r="N167" s="14" t="str">
        <f aca="false">IF(OR(E167="",F167="",G167=""),"",10*(E167-1)+10*(G167-1)+10*(2-MIN(F167,2)))</f>
        <v/>
      </c>
      <c r="O167" s="14" t="n">
        <f aca="false">IF(AND(N167&lt;&gt;"",I167&lt;&gt;""),1,0)</f>
        <v>0</v>
      </c>
      <c r="P167" s="14" t="str">
        <f aca="false">IF(N167="","",IF(N167&lt;Ngưỡng!$B$4,1,0))</f>
        <v/>
      </c>
      <c r="Q167" s="14" t="str">
        <f aca="false">IF(I167="","",IF(I167&gt;=Ngưỡng!$B$5,1,0))</f>
        <v/>
      </c>
      <c r="R167" s="14" t="str">
        <f aca="false">IF(H167="","",IF(H167&lt;&gt;"Yên",1,0))</f>
        <v/>
      </c>
      <c r="S167" s="14" t="str">
        <f aca="false">IF(K167="","",IF(K167&gt;Ngưỡng!$B$6,1,0))</f>
        <v/>
      </c>
      <c r="T167" s="14" t="str">
        <f aca="false">IF(N167="","",IF(N167&gt;=Ngưỡng!$B$3,1,0))</f>
        <v/>
      </c>
      <c r="U167" s="14" t="n">
        <f aca="false">IF(I167=5,U166+1,0)</f>
        <v>0</v>
      </c>
      <c r="V167" s="14" t="n">
        <f aca="false">IF(AND(F167&lt;&gt;"",F167&gt;=2),V166+1,0)</f>
        <v>0</v>
      </c>
      <c r="W167" s="14" t="n">
        <f aca="false">IF(O167=0,W166+1,0)</f>
        <v>12</v>
      </c>
      <c r="X167" s="14" t="str">
        <f aca="false">IF(OR(E167="",F167=""),"",ROUND((10*(E167-1)+10*(2-MIN(F167,2)))/60*100,0))</f>
        <v/>
      </c>
    </row>
    <row r="168" customFormat="false" ht="15" hidden="false" customHeight="false" outlineLevel="0" collapsed="false">
      <c r="A168" s="4" t="s">
        <v>92</v>
      </c>
      <c r="B168" s="4" t="n">
        <v>13</v>
      </c>
      <c r="C168" s="4" t="n">
        <f aca="false">IF(B168&lt;=7,1,2)</f>
        <v>2</v>
      </c>
      <c r="D168" s="15"/>
      <c r="E168" s="15"/>
      <c r="F168" s="15"/>
      <c r="G168" s="15"/>
      <c r="H168" s="15"/>
      <c r="I168" s="15"/>
      <c r="J168" s="15"/>
      <c r="K168" s="16"/>
      <c r="L168" s="16"/>
      <c r="M168" s="15"/>
      <c r="N168" s="14" t="str">
        <f aca="false">IF(OR(E168="",F168="",G168=""),"",10*(E168-1)+10*(G168-1)+10*(2-MIN(F168,2)))</f>
        <v/>
      </c>
      <c r="O168" s="14" t="n">
        <f aca="false">IF(AND(N168&lt;&gt;"",I168&lt;&gt;""),1,0)</f>
        <v>0</v>
      </c>
      <c r="P168" s="14" t="str">
        <f aca="false">IF(N168="","",IF(N168&lt;Ngưỡng!$B$4,1,0))</f>
        <v/>
      </c>
      <c r="Q168" s="14" t="str">
        <f aca="false">IF(I168="","",IF(I168&gt;=Ngưỡng!$B$5,1,0))</f>
        <v/>
      </c>
      <c r="R168" s="14" t="str">
        <f aca="false">IF(H168="","",IF(H168&lt;&gt;"Yên",1,0))</f>
        <v/>
      </c>
      <c r="S168" s="14" t="str">
        <f aca="false">IF(K168="","",IF(K168&gt;Ngưỡng!$B$6,1,0))</f>
        <v/>
      </c>
      <c r="T168" s="14" t="str">
        <f aca="false">IF(N168="","",IF(N168&gt;=Ngưỡng!$B$3,1,0))</f>
        <v/>
      </c>
      <c r="U168" s="14" t="n">
        <f aca="false">IF(I168=5,U167+1,0)</f>
        <v>0</v>
      </c>
      <c r="V168" s="14" t="n">
        <f aca="false">IF(AND(F168&lt;&gt;"",F168&gt;=2),V167+1,0)</f>
        <v>0</v>
      </c>
      <c r="W168" s="14" t="n">
        <f aca="false">IF(O168=0,W167+1,0)</f>
        <v>13</v>
      </c>
      <c r="X168" s="14" t="str">
        <f aca="false">IF(OR(E168="",F168=""),"",ROUND((10*(E168-1)+10*(2-MIN(F168,2)))/60*100,0))</f>
        <v/>
      </c>
    </row>
    <row r="169" customFormat="false" ht="15" hidden="false" customHeight="false" outlineLevel="0" collapsed="false">
      <c r="A169" s="4" t="s">
        <v>92</v>
      </c>
      <c r="B169" s="4" t="n">
        <v>14</v>
      </c>
      <c r="C169" s="4" t="n">
        <f aca="false">IF(B169&lt;=7,1,2)</f>
        <v>2</v>
      </c>
      <c r="D169" s="15"/>
      <c r="E169" s="15"/>
      <c r="F169" s="15"/>
      <c r="G169" s="15"/>
      <c r="H169" s="15"/>
      <c r="I169" s="15"/>
      <c r="J169" s="15"/>
      <c r="K169" s="16"/>
      <c r="L169" s="16"/>
      <c r="M169" s="15"/>
      <c r="N169" s="14" t="str">
        <f aca="false">IF(OR(E169="",F169="",G169=""),"",10*(E169-1)+10*(G169-1)+10*(2-MIN(F169,2)))</f>
        <v/>
      </c>
      <c r="O169" s="14" t="n">
        <f aca="false">IF(AND(N169&lt;&gt;"",I169&lt;&gt;""),1,0)</f>
        <v>0</v>
      </c>
      <c r="P169" s="14" t="str">
        <f aca="false">IF(N169="","",IF(N169&lt;Ngưỡng!$B$4,1,0))</f>
        <v/>
      </c>
      <c r="Q169" s="14" t="str">
        <f aca="false">IF(I169="","",IF(I169&gt;=Ngưỡng!$B$5,1,0))</f>
        <v/>
      </c>
      <c r="R169" s="14" t="str">
        <f aca="false">IF(H169="","",IF(H169&lt;&gt;"Yên",1,0))</f>
        <v/>
      </c>
      <c r="S169" s="14" t="str">
        <f aca="false">IF(K169="","",IF(K169&gt;Ngưỡng!$B$6,1,0))</f>
        <v/>
      </c>
      <c r="T169" s="14" t="str">
        <f aca="false">IF(N169="","",IF(N169&gt;=Ngưỡng!$B$3,1,0))</f>
        <v/>
      </c>
      <c r="U169" s="14" t="n">
        <f aca="false">IF(I169=5,U168+1,0)</f>
        <v>0</v>
      </c>
      <c r="V169" s="14" t="n">
        <f aca="false">IF(AND(F169&lt;&gt;"",F169&gt;=2),V168+1,0)</f>
        <v>0</v>
      </c>
      <c r="W169" s="14" t="n">
        <f aca="false">IF(O169=0,W168+1,0)</f>
        <v>14</v>
      </c>
      <c r="X169" s="14" t="str">
        <f aca="false">IF(OR(E169="",F169=""),"",ROUND((10*(E169-1)+10*(2-MIN(F169,2)))/60*100,0))</f>
        <v/>
      </c>
    </row>
    <row r="170" customFormat="false" ht="15" hidden="false" customHeight="false" outlineLevel="0" collapsed="false">
      <c r="A170" s="4" t="s">
        <v>93</v>
      </c>
      <c r="B170" s="4" t="n">
        <v>1</v>
      </c>
      <c r="C170" s="4" t="n">
        <f aca="false">IF(B170&lt;=7,1,2)</f>
        <v>1</v>
      </c>
      <c r="D170" s="15"/>
      <c r="E170" s="15"/>
      <c r="F170" s="15"/>
      <c r="G170" s="15"/>
      <c r="H170" s="15"/>
      <c r="I170" s="15"/>
      <c r="J170" s="15"/>
      <c r="K170" s="16"/>
      <c r="L170" s="16"/>
      <c r="M170" s="15"/>
      <c r="N170" s="14" t="str">
        <f aca="false">IF(OR(E170="",F170="",G170=""),"",10*(E170-1)+10*(G170-1)+10*(2-MIN(F170,2)))</f>
        <v/>
      </c>
      <c r="O170" s="14" t="n">
        <f aca="false">IF(AND(N170&lt;&gt;"",I170&lt;&gt;""),1,0)</f>
        <v>0</v>
      </c>
      <c r="P170" s="14" t="str">
        <f aca="false">IF(N170="","",IF(N170&lt;Ngưỡng!$B$4,1,0))</f>
        <v/>
      </c>
      <c r="Q170" s="14" t="str">
        <f aca="false">IF(I170="","",IF(I170&gt;=Ngưỡng!$B$5,1,0))</f>
        <v/>
      </c>
      <c r="R170" s="14" t="str">
        <f aca="false">IF(H170="","",IF(H170&lt;&gt;"Yên",1,0))</f>
        <v/>
      </c>
      <c r="S170" s="14" t="str">
        <f aca="false">IF(K170="","",IF(K170&gt;Ngưỡng!$B$6,1,0))</f>
        <v/>
      </c>
      <c r="T170" s="14" t="str">
        <f aca="false">IF(N170="","",IF(N170&gt;=Ngưỡng!$B$3,1,0))</f>
        <v/>
      </c>
      <c r="U170" s="14" t="n">
        <f aca="false">IF(I170=5,0+1,0)</f>
        <v>0</v>
      </c>
      <c r="V170" s="14" t="n">
        <f aca="false">IF(AND(F170&lt;&gt;"",F170&gt;=2),0+1,0)</f>
        <v>0</v>
      </c>
      <c r="W170" s="14" t="n">
        <f aca="false">IF(O170=0,0+1,0)</f>
        <v>1</v>
      </c>
      <c r="X170" s="14" t="str">
        <f aca="false">IF(OR(E170="",F170=""),"",ROUND((10*(E170-1)+10*(2-MIN(F170,2)))/60*100,0))</f>
        <v/>
      </c>
    </row>
    <row r="171" customFormat="false" ht="15" hidden="false" customHeight="false" outlineLevel="0" collapsed="false">
      <c r="A171" s="4" t="s">
        <v>93</v>
      </c>
      <c r="B171" s="4" t="n">
        <v>2</v>
      </c>
      <c r="C171" s="4" t="n">
        <f aca="false">IF(B171&lt;=7,1,2)</f>
        <v>1</v>
      </c>
      <c r="D171" s="15"/>
      <c r="E171" s="15"/>
      <c r="F171" s="15"/>
      <c r="G171" s="15"/>
      <c r="H171" s="15"/>
      <c r="I171" s="15"/>
      <c r="J171" s="15"/>
      <c r="K171" s="16"/>
      <c r="L171" s="16"/>
      <c r="M171" s="15"/>
      <c r="N171" s="14" t="str">
        <f aca="false">IF(OR(E171="",F171="",G171=""),"",10*(E171-1)+10*(G171-1)+10*(2-MIN(F171,2)))</f>
        <v/>
      </c>
      <c r="O171" s="14" t="n">
        <f aca="false">IF(AND(N171&lt;&gt;"",I171&lt;&gt;""),1,0)</f>
        <v>0</v>
      </c>
      <c r="P171" s="14" t="str">
        <f aca="false">IF(N171="","",IF(N171&lt;Ngưỡng!$B$4,1,0))</f>
        <v/>
      </c>
      <c r="Q171" s="14" t="str">
        <f aca="false">IF(I171="","",IF(I171&gt;=Ngưỡng!$B$5,1,0))</f>
        <v/>
      </c>
      <c r="R171" s="14" t="str">
        <f aca="false">IF(H171="","",IF(H171&lt;&gt;"Yên",1,0))</f>
        <v/>
      </c>
      <c r="S171" s="14" t="str">
        <f aca="false">IF(K171="","",IF(K171&gt;Ngưỡng!$B$6,1,0))</f>
        <v/>
      </c>
      <c r="T171" s="14" t="str">
        <f aca="false">IF(N171="","",IF(N171&gt;=Ngưỡng!$B$3,1,0))</f>
        <v/>
      </c>
      <c r="U171" s="14" t="n">
        <f aca="false">IF(I171=5,U170+1,0)</f>
        <v>0</v>
      </c>
      <c r="V171" s="14" t="n">
        <f aca="false">IF(AND(F171&lt;&gt;"",F171&gt;=2),V170+1,0)</f>
        <v>0</v>
      </c>
      <c r="W171" s="14" t="n">
        <f aca="false">IF(O171=0,W170+1,0)</f>
        <v>2</v>
      </c>
      <c r="X171" s="14" t="str">
        <f aca="false">IF(OR(E171="",F171=""),"",ROUND((10*(E171-1)+10*(2-MIN(F171,2)))/60*100,0))</f>
        <v/>
      </c>
    </row>
    <row r="172" customFormat="false" ht="15" hidden="false" customHeight="false" outlineLevel="0" collapsed="false">
      <c r="A172" s="4" t="s">
        <v>93</v>
      </c>
      <c r="B172" s="4" t="n">
        <v>3</v>
      </c>
      <c r="C172" s="4" t="n">
        <f aca="false">IF(B172&lt;=7,1,2)</f>
        <v>1</v>
      </c>
      <c r="D172" s="15"/>
      <c r="E172" s="15"/>
      <c r="F172" s="15"/>
      <c r="G172" s="15"/>
      <c r="H172" s="15"/>
      <c r="I172" s="15"/>
      <c r="J172" s="15"/>
      <c r="K172" s="16"/>
      <c r="L172" s="16"/>
      <c r="M172" s="15"/>
      <c r="N172" s="14" t="str">
        <f aca="false">IF(OR(E172="",F172="",G172=""),"",10*(E172-1)+10*(G172-1)+10*(2-MIN(F172,2)))</f>
        <v/>
      </c>
      <c r="O172" s="14" t="n">
        <f aca="false">IF(AND(N172&lt;&gt;"",I172&lt;&gt;""),1,0)</f>
        <v>0</v>
      </c>
      <c r="P172" s="14" t="str">
        <f aca="false">IF(N172="","",IF(N172&lt;Ngưỡng!$B$4,1,0))</f>
        <v/>
      </c>
      <c r="Q172" s="14" t="str">
        <f aca="false">IF(I172="","",IF(I172&gt;=Ngưỡng!$B$5,1,0))</f>
        <v/>
      </c>
      <c r="R172" s="14" t="str">
        <f aca="false">IF(H172="","",IF(H172&lt;&gt;"Yên",1,0))</f>
        <v/>
      </c>
      <c r="S172" s="14" t="str">
        <f aca="false">IF(K172="","",IF(K172&gt;Ngưỡng!$B$6,1,0))</f>
        <v/>
      </c>
      <c r="T172" s="14" t="str">
        <f aca="false">IF(N172="","",IF(N172&gt;=Ngưỡng!$B$3,1,0))</f>
        <v/>
      </c>
      <c r="U172" s="14" t="n">
        <f aca="false">IF(I172=5,U171+1,0)</f>
        <v>0</v>
      </c>
      <c r="V172" s="14" t="n">
        <f aca="false">IF(AND(F172&lt;&gt;"",F172&gt;=2),V171+1,0)</f>
        <v>0</v>
      </c>
      <c r="W172" s="14" t="n">
        <f aca="false">IF(O172=0,W171+1,0)</f>
        <v>3</v>
      </c>
      <c r="X172" s="14" t="str">
        <f aca="false">IF(OR(E172="",F172=""),"",ROUND((10*(E172-1)+10*(2-MIN(F172,2)))/60*100,0))</f>
        <v/>
      </c>
    </row>
    <row r="173" customFormat="false" ht="15" hidden="false" customHeight="false" outlineLevel="0" collapsed="false">
      <c r="A173" s="4" t="s">
        <v>93</v>
      </c>
      <c r="B173" s="4" t="n">
        <v>4</v>
      </c>
      <c r="C173" s="4" t="n">
        <f aca="false">IF(B173&lt;=7,1,2)</f>
        <v>1</v>
      </c>
      <c r="D173" s="15"/>
      <c r="E173" s="15"/>
      <c r="F173" s="15"/>
      <c r="G173" s="15"/>
      <c r="H173" s="15"/>
      <c r="I173" s="15"/>
      <c r="J173" s="15"/>
      <c r="K173" s="16"/>
      <c r="L173" s="16"/>
      <c r="M173" s="15"/>
      <c r="N173" s="14" t="str">
        <f aca="false">IF(OR(E173="",F173="",G173=""),"",10*(E173-1)+10*(G173-1)+10*(2-MIN(F173,2)))</f>
        <v/>
      </c>
      <c r="O173" s="14" t="n">
        <f aca="false">IF(AND(N173&lt;&gt;"",I173&lt;&gt;""),1,0)</f>
        <v>0</v>
      </c>
      <c r="P173" s="14" t="str">
        <f aca="false">IF(N173="","",IF(N173&lt;Ngưỡng!$B$4,1,0))</f>
        <v/>
      </c>
      <c r="Q173" s="14" t="str">
        <f aca="false">IF(I173="","",IF(I173&gt;=Ngưỡng!$B$5,1,0))</f>
        <v/>
      </c>
      <c r="R173" s="14" t="str">
        <f aca="false">IF(H173="","",IF(H173&lt;&gt;"Yên",1,0))</f>
        <v/>
      </c>
      <c r="S173" s="14" t="str">
        <f aca="false">IF(K173="","",IF(K173&gt;Ngưỡng!$B$6,1,0))</f>
        <v/>
      </c>
      <c r="T173" s="14" t="str">
        <f aca="false">IF(N173="","",IF(N173&gt;=Ngưỡng!$B$3,1,0))</f>
        <v/>
      </c>
      <c r="U173" s="14" t="n">
        <f aca="false">IF(I173=5,U172+1,0)</f>
        <v>0</v>
      </c>
      <c r="V173" s="14" t="n">
        <f aca="false">IF(AND(F173&lt;&gt;"",F173&gt;=2),V172+1,0)</f>
        <v>0</v>
      </c>
      <c r="W173" s="14" t="n">
        <f aca="false">IF(O173=0,W172+1,0)</f>
        <v>4</v>
      </c>
      <c r="X173" s="14" t="str">
        <f aca="false">IF(OR(E173="",F173=""),"",ROUND((10*(E173-1)+10*(2-MIN(F173,2)))/60*100,0))</f>
        <v/>
      </c>
    </row>
    <row r="174" customFormat="false" ht="15" hidden="false" customHeight="false" outlineLevel="0" collapsed="false">
      <c r="A174" s="4" t="s">
        <v>93</v>
      </c>
      <c r="B174" s="4" t="n">
        <v>5</v>
      </c>
      <c r="C174" s="4" t="n">
        <f aca="false">IF(B174&lt;=7,1,2)</f>
        <v>1</v>
      </c>
      <c r="D174" s="15"/>
      <c r="E174" s="15"/>
      <c r="F174" s="15"/>
      <c r="G174" s="15"/>
      <c r="H174" s="15"/>
      <c r="I174" s="15"/>
      <c r="J174" s="15"/>
      <c r="K174" s="16"/>
      <c r="L174" s="16"/>
      <c r="M174" s="15"/>
      <c r="N174" s="14" t="str">
        <f aca="false">IF(OR(E174="",F174="",G174=""),"",10*(E174-1)+10*(G174-1)+10*(2-MIN(F174,2)))</f>
        <v/>
      </c>
      <c r="O174" s="14" t="n">
        <f aca="false">IF(AND(N174&lt;&gt;"",I174&lt;&gt;""),1,0)</f>
        <v>0</v>
      </c>
      <c r="P174" s="14" t="str">
        <f aca="false">IF(N174="","",IF(N174&lt;Ngưỡng!$B$4,1,0))</f>
        <v/>
      </c>
      <c r="Q174" s="14" t="str">
        <f aca="false">IF(I174="","",IF(I174&gt;=Ngưỡng!$B$5,1,0))</f>
        <v/>
      </c>
      <c r="R174" s="14" t="str">
        <f aca="false">IF(H174="","",IF(H174&lt;&gt;"Yên",1,0))</f>
        <v/>
      </c>
      <c r="S174" s="14" t="str">
        <f aca="false">IF(K174="","",IF(K174&gt;Ngưỡng!$B$6,1,0))</f>
        <v/>
      </c>
      <c r="T174" s="14" t="str">
        <f aca="false">IF(N174="","",IF(N174&gt;=Ngưỡng!$B$3,1,0))</f>
        <v/>
      </c>
      <c r="U174" s="14" t="n">
        <f aca="false">IF(I174=5,U173+1,0)</f>
        <v>0</v>
      </c>
      <c r="V174" s="14" t="n">
        <f aca="false">IF(AND(F174&lt;&gt;"",F174&gt;=2),V173+1,0)</f>
        <v>0</v>
      </c>
      <c r="W174" s="14" t="n">
        <f aca="false">IF(O174=0,W173+1,0)</f>
        <v>5</v>
      </c>
      <c r="X174" s="14" t="str">
        <f aca="false">IF(OR(E174="",F174=""),"",ROUND((10*(E174-1)+10*(2-MIN(F174,2)))/60*100,0))</f>
        <v/>
      </c>
    </row>
    <row r="175" customFormat="false" ht="15" hidden="false" customHeight="false" outlineLevel="0" collapsed="false">
      <c r="A175" s="4" t="s">
        <v>93</v>
      </c>
      <c r="B175" s="4" t="n">
        <v>6</v>
      </c>
      <c r="C175" s="4" t="n">
        <f aca="false">IF(B175&lt;=7,1,2)</f>
        <v>1</v>
      </c>
      <c r="D175" s="15"/>
      <c r="E175" s="15"/>
      <c r="F175" s="15"/>
      <c r="G175" s="15"/>
      <c r="H175" s="15"/>
      <c r="I175" s="15"/>
      <c r="J175" s="15"/>
      <c r="K175" s="16"/>
      <c r="L175" s="16"/>
      <c r="M175" s="15"/>
      <c r="N175" s="14" t="str">
        <f aca="false">IF(OR(E175="",F175="",G175=""),"",10*(E175-1)+10*(G175-1)+10*(2-MIN(F175,2)))</f>
        <v/>
      </c>
      <c r="O175" s="14" t="n">
        <f aca="false">IF(AND(N175&lt;&gt;"",I175&lt;&gt;""),1,0)</f>
        <v>0</v>
      </c>
      <c r="P175" s="14" t="str">
        <f aca="false">IF(N175="","",IF(N175&lt;Ngưỡng!$B$4,1,0))</f>
        <v/>
      </c>
      <c r="Q175" s="14" t="str">
        <f aca="false">IF(I175="","",IF(I175&gt;=Ngưỡng!$B$5,1,0))</f>
        <v/>
      </c>
      <c r="R175" s="14" t="str">
        <f aca="false">IF(H175="","",IF(H175&lt;&gt;"Yên",1,0))</f>
        <v/>
      </c>
      <c r="S175" s="14" t="str">
        <f aca="false">IF(K175="","",IF(K175&gt;Ngưỡng!$B$6,1,0))</f>
        <v/>
      </c>
      <c r="T175" s="14" t="str">
        <f aca="false">IF(N175="","",IF(N175&gt;=Ngưỡng!$B$3,1,0))</f>
        <v/>
      </c>
      <c r="U175" s="14" t="n">
        <f aca="false">IF(I175=5,U174+1,0)</f>
        <v>0</v>
      </c>
      <c r="V175" s="14" t="n">
        <f aca="false">IF(AND(F175&lt;&gt;"",F175&gt;=2),V174+1,0)</f>
        <v>0</v>
      </c>
      <c r="W175" s="14" t="n">
        <f aca="false">IF(O175=0,W174+1,0)</f>
        <v>6</v>
      </c>
      <c r="X175" s="14" t="str">
        <f aca="false">IF(OR(E175="",F175=""),"",ROUND((10*(E175-1)+10*(2-MIN(F175,2)))/60*100,0))</f>
        <v/>
      </c>
    </row>
    <row r="176" customFormat="false" ht="15" hidden="false" customHeight="false" outlineLevel="0" collapsed="false">
      <c r="A176" s="4" t="s">
        <v>93</v>
      </c>
      <c r="B176" s="4" t="n">
        <v>7</v>
      </c>
      <c r="C176" s="4" t="n">
        <f aca="false">IF(B176&lt;=7,1,2)</f>
        <v>1</v>
      </c>
      <c r="D176" s="15"/>
      <c r="E176" s="15"/>
      <c r="F176" s="15"/>
      <c r="G176" s="15"/>
      <c r="H176" s="15"/>
      <c r="I176" s="15"/>
      <c r="J176" s="15"/>
      <c r="K176" s="16"/>
      <c r="L176" s="16"/>
      <c r="M176" s="15"/>
      <c r="N176" s="14" t="str">
        <f aca="false">IF(OR(E176="",F176="",G176=""),"",10*(E176-1)+10*(G176-1)+10*(2-MIN(F176,2)))</f>
        <v/>
      </c>
      <c r="O176" s="14" t="n">
        <f aca="false">IF(AND(N176&lt;&gt;"",I176&lt;&gt;""),1,0)</f>
        <v>0</v>
      </c>
      <c r="P176" s="14" t="str">
        <f aca="false">IF(N176="","",IF(N176&lt;Ngưỡng!$B$4,1,0))</f>
        <v/>
      </c>
      <c r="Q176" s="14" t="str">
        <f aca="false">IF(I176="","",IF(I176&gt;=Ngưỡng!$B$5,1,0))</f>
        <v/>
      </c>
      <c r="R176" s="14" t="str">
        <f aca="false">IF(H176="","",IF(H176&lt;&gt;"Yên",1,0))</f>
        <v/>
      </c>
      <c r="S176" s="14" t="str">
        <f aca="false">IF(K176="","",IF(K176&gt;Ngưỡng!$B$6,1,0))</f>
        <v/>
      </c>
      <c r="T176" s="14" t="str">
        <f aca="false">IF(N176="","",IF(N176&gt;=Ngưỡng!$B$3,1,0))</f>
        <v/>
      </c>
      <c r="U176" s="14" t="n">
        <f aca="false">IF(I176=5,U175+1,0)</f>
        <v>0</v>
      </c>
      <c r="V176" s="14" t="n">
        <f aca="false">IF(AND(F176&lt;&gt;"",F176&gt;=2),V175+1,0)</f>
        <v>0</v>
      </c>
      <c r="W176" s="14" t="n">
        <f aca="false">IF(O176=0,W175+1,0)</f>
        <v>7</v>
      </c>
      <c r="X176" s="14" t="str">
        <f aca="false">IF(OR(E176="",F176=""),"",ROUND((10*(E176-1)+10*(2-MIN(F176,2)))/60*100,0))</f>
        <v/>
      </c>
    </row>
    <row r="177" customFormat="false" ht="15" hidden="false" customHeight="false" outlineLevel="0" collapsed="false">
      <c r="A177" s="4" t="s">
        <v>93</v>
      </c>
      <c r="B177" s="4" t="n">
        <v>8</v>
      </c>
      <c r="C177" s="4" t="n">
        <f aca="false">IF(B177&lt;=7,1,2)</f>
        <v>2</v>
      </c>
      <c r="D177" s="15"/>
      <c r="E177" s="15"/>
      <c r="F177" s="15"/>
      <c r="G177" s="15"/>
      <c r="H177" s="15"/>
      <c r="I177" s="15"/>
      <c r="J177" s="15"/>
      <c r="K177" s="16"/>
      <c r="L177" s="16"/>
      <c r="M177" s="15"/>
      <c r="N177" s="14" t="str">
        <f aca="false">IF(OR(E177="",F177="",G177=""),"",10*(E177-1)+10*(G177-1)+10*(2-MIN(F177,2)))</f>
        <v/>
      </c>
      <c r="O177" s="14" t="n">
        <f aca="false">IF(AND(N177&lt;&gt;"",I177&lt;&gt;""),1,0)</f>
        <v>0</v>
      </c>
      <c r="P177" s="14" t="str">
        <f aca="false">IF(N177="","",IF(N177&lt;Ngưỡng!$B$4,1,0))</f>
        <v/>
      </c>
      <c r="Q177" s="14" t="str">
        <f aca="false">IF(I177="","",IF(I177&gt;=Ngưỡng!$B$5,1,0))</f>
        <v/>
      </c>
      <c r="R177" s="14" t="str">
        <f aca="false">IF(H177="","",IF(H177&lt;&gt;"Yên",1,0))</f>
        <v/>
      </c>
      <c r="S177" s="14" t="str">
        <f aca="false">IF(K177="","",IF(K177&gt;Ngưỡng!$B$6,1,0))</f>
        <v/>
      </c>
      <c r="T177" s="14" t="str">
        <f aca="false">IF(N177="","",IF(N177&gt;=Ngưỡng!$B$3,1,0))</f>
        <v/>
      </c>
      <c r="U177" s="14" t="n">
        <f aca="false">IF(I177=5,U176+1,0)</f>
        <v>0</v>
      </c>
      <c r="V177" s="14" t="n">
        <f aca="false">IF(AND(F177&lt;&gt;"",F177&gt;=2),V176+1,0)</f>
        <v>0</v>
      </c>
      <c r="W177" s="14" t="n">
        <f aca="false">IF(O177=0,W176+1,0)</f>
        <v>8</v>
      </c>
      <c r="X177" s="14" t="str">
        <f aca="false">IF(OR(E177="",F177=""),"",ROUND((10*(E177-1)+10*(2-MIN(F177,2)))/60*100,0))</f>
        <v/>
      </c>
    </row>
    <row r="178" customFormat="false" ht="15" hidden="false" customHeight="false" outlineLevel="0" collapsed="false">
      <c r="A178" s="4" t="s">
        <v>93</v>
      </c>
      <c r="B178" s="4" t="n">
        <v>9</v>
      </c>
      <c r="C178" s="4" t="n">
        <f aca="false">IF(B178&lt;=7,1,2)</f>
        <v>2</v>
      </c>
      <c r="D178" s="15"/>
      <c r="E178" s="15"/>
      <c r="F178" s="15"/>
      <c r="G178" s="15"/>
      <c r="H178" s="15"/>
      <c r="I178" s="15"/>
      <c r="J178" s="15"/>
      <c r="K178" s="16"/>
      <c r="L178" s="16"/>
      <c r="M178" s="15"/>
      <c r="N178" s="14" t="str">
        <f aca="false">IF(OR(E178="",F178="",G178=""),"",10*(E178-1)+10*(G178-1)+10*(2-MIN(F178,2)))</f>
        <v/>
      </c>
      <c r="O178" s="14" t="n">
        <f aca="false">IF(AND(N178&lt;&gt;"",I178&lt;&gt;""),1,0)</f>
        <v>0</v>
      </c>
      <c r="P178" s="14" t="str">
        <f aca="false">IF(N178="","",IF(N178&lt;Ngưỡng!$B$4,1,0))</f>
        <v/>
      </c>
      <c r="Q178" s="14" t="str">
        <f aca="false">IF(I178="","",IF(I178&gt;=Ngưỡng!$B$5,1,0))</f>
        <v/>
      </c>
      <c r="R178" s="14" t="str">
        <f aca="false">IF(H178="","",IF(H178&lt;&gt;"Yên",1,0))</f>
        <v/>
      </c>
      <c r="S178" s="14" t="str">
        <f aca="false">IF(K178="","",IF(K178&gt;Ngưỡng!$B$6,1,0))</f>
        <v/>
      </c>
      <c r="T178" s="14" t="str">
        <f aca="false">IF(N178="","",IF(N178&gt;=Ngưỡng!$B$3,1,0))</f>
        <v/>
      </c>
      <c r="U178" s="14" t="n">
        <f aca="false">IF(I178=5,U177+1,0)</f>
        <v>0</v>
      </c>
      <c r="V178" s="14" t="n">
        <f aca="false">IF(AND(F178&lt;&gt;"",F178&gt;=2),V177+1,0)</f>
        <v>0</v>
      </c>
      <c r="W178" s="14" t="n">
        <f aca="false">IF(O178=0,W177+1,0)</f>
        <v>9</v>
      </c>
      <c r="X178" s="14" t="str">
        <f aca="false">IF(OR(E178="",F178=""),"",ROUND((10*(E178-1)+10*(2-MIN(F178,2)))/60*100,0))</f>
        <v/>
      </c>
    </row>
    <row r="179" customFormat="false" ht="15" hidden="false" customHeight="false" outlineLevel="0" collapsed="false">
      <c r="A179" s="4" t="s">
        <v>93</v>
      </c>
      <c r="B179" s="4" t="n">
        <v>10</v>
      </c>
      <c r="C179" s="4" t="n">
        <f aca="false">IF(B179&lt;=7,1,2)</f>
        <v>2</v>
      </c>
      <c r="D179" s="15"/>
      <c r="E179" s="15"/>
      <c r="F179" s="15"/>
      <c r="G179" s="15"/>
      <c r="H179" s="15"/>
      <c r="I179" s="15"/>
      <c r="J179" s="15"/>
      <c r="K179" s="16"/>
      <c r="L179" s="16"/>
      <c r="M179" s="15"/>
      <c r="N179" s="14" t="str">
        <f aca="false">IF(OR(E179="",F179="",G179=""),"",10*(E179-1)+10*(G179-1)+10*(2-MIN(F179,2)))</f>
        <v/>
      </c>
      <c r="O179" s="14" t="n">
        <f aca="false">IF(AND(N179&lt;&gt;"",I179&lt;&gt;""),1,0)</f>
        <v>0</v>
      </c>
      <c r="P179" s="14" t="str">
        <f aca="false">IF(N179="","",IF(N179&lt;Ngưỡng!$B$4,1,0))</f>
        <v/>
      </c>
      <c r="Q179" s="14" t="str">
        <f aca="false">IF(I179="","",IF(I179&gt;=Ngưỡng!$B$5,1,0))</f>
        <v/>
      </c>
      <c r="R179" s="14" t="str">
        <f aca="false">IF(H179="","",IF(H179&lt;&gt;"Yên",1,0))</f>
        <v/>
      </c>
      <c r="S179" s="14" t="str">
        <f aca="false">IF(K179="","",IF(K179&gt;Ngưỡng!$B$6,1,0))</f>
        <v/>
      </c>
      <c r="T179" s="14" t="str">
        <f aca="false">IF(N179="","",IF(N179&gt;=Ngưỡng!$B$3,1,0))</f>
        <v/>
      </c>
      <c r="U179" s="14" t="n">
        <f aca="false">IF(I179=5,U178+1,0)</f>
        <v>0</v>
      </c>
      <c r="V179" s="14" t="n">
        <f aca="false">IF(AND(F179&lt;&gt;"",F179&gt;=2),V178+1,0)</f>
        <v>0</v>
      </c>
      <c r="W179" s="14" t="n">
        <f aca="false">IF(O179=0,W178+1,0)</f>
        <v>10</v>
      </c>
      <c r="X179" s="14" t="str">
        <f aca="false">IF(OR(E179="",F179=""),"",ROUND((10*(E179-1)+10*(2-MIN(F179,2)))/60*100,0))</f>
        <v/>
      </c>
    </row>
    <row r="180" customFormat="false" ht="15" hidden="false" customHeight="false" outlineLevel="0" collapsed="false">
      <c r="A180" s="4" t="s">
        <v>93</v>
      </c>
      <c r="B180" s="4" t="n">
        <v>11</v>
      </c>
      <c r="C180" s="4" t="n">
        <f aca="false">IF(B180&lt;=7,1,2)</f>
        <v>2</v>
      </c>
      <c r="D180" s="15"/>
      <c r="E180" s="15"/>
      <c r="F180" s="15"/>
      <c r="G180" s="15"/>
      <c r="H180" s="15"/>
      <c r="I180" s="15"/>
      <c r="J180" s="15"/>
      <c r="K180" s="16"/>
      <c r="L180" s="16"/>
      <c r="M180" s="15"/>
      <c r="N180" s="14" t="str">
        <f aca="false">IF(OR(E180="",F180="",G180=""),"",10*(E180-1)+10*(G180-1)+10*(2-MIN(F180,2)))</f>
        <v/>
      </c>
      <c r="O180" s="14" t="n">
        <f aca="false">IF(AND(N180&lt;&gt;"",I180&lt;&gt;""),1,0)</f>
        <v>0</v>
      </c>
      <c r="P180" s="14" t="str">
        <f aca="false">IF(N180="","",IF(N180&lt;Ngưỡng!$B$4,1,0))</f>
        <v/>
      </c>
      <c r="Q180" s="14" t="str">
        <f aca="false">IF(I180="","",IF(I180&gt;=Ngưỡng!$B$5,1,0))</f>
        <v/>
      </c>
      <c r="R180" s="14" t="str">
        <f aca="false">IF(H180="","",IF(H180&lt;&gt;"Yên",1,0))</f>
        <v/>
      </c>
      <c r="S180" s="14" t="str">
        <f aca="false">IF(K180="","",IF(K180&gt;Ngưỡng!$B$6,1,0))</f>
        <v/>
      </c>
      <c r="T180" s="14" t="str">
        <f aca="false">IF(N180="","",IF(N180&gt;=Ngưỡng!$B$3,1,0))</f>
        <v/>
      </c>
      <c r="U180" s="14" t="n">
        <f aca="false">IF(I180=5,U179+1,0)</f>
        <v>0</v>
      </c>
      <c r="V180" s="14" t="n">
        <f aca="false">IF(AND(F180&lt;&gt;"",F180&gt;=2),V179+1,0)</f>
        <v>0</v>
      </c>
      <c r="W180" s="14" t="n">
        <f aca="false">IF(O180=0,W179+1,0)</f>
        <v>11</v>
      </c>
      <c r="X180" s="14" t="str">
        <f aca="false">IF(OR(E180="",F180=""),"",ROUND((10*(E180-1)+10*(2-MIN(F180,2)))/60*100,0))</f>
        <v/>
      </c>
    </row>
    <row r="181" customFormat="false" ht="15" hidden="false" customHeight="false" outlineLevel="0" collapsed="false">
      <c r="A181" s="4" t="s">
        <v>93</v>
      </c>
      <c r="B181" s="4" t="n">
        <v>12</v>
      </c>
      <c r="C181" s="4" t="n">
        <f aca="false">IF(B181&lt;=7,1,2)</f>
        <v>2</v>
      </c>
      <c r="D181" s="15"/>
      <c r="E181" s="15"/>
      <c r="F181" s="15"/>
      <c r="G181" s="15"/>
      <c r="H181" s="15"/>
      <c r="I181" s="15"/>
      <c r="J181" s="15"/>
      <c r="K181" s="16"/>
      <c r="L181" s="16"/>
      <c r="M181" s="15"/>
      <c r="N181" s="14" t="str">
        <f aca="false">IF(OR(E181="",F181="",G181=""),"",10*(E181-1)+10*(G181-1)+10*(2-MIN(F181,2)))</f>
        <v/>
      </c>
      <c r="O181" s="14" t="n">
        <f aca="false">IF(AND(N181&lt;&gt;"",I181&lt;&gt;""),1,0)</f>
        <v>0</v>
      </c>
      <c r="P181" s="14" t="str">
        <f aca="false">IF(N181="","",IF(N181&lt;Ngưỡng!$B$4,1,0))</f>
        <v/>
      </c>
      <c r="Q181" s="14" t="str">
        <f aca="false">IF(I181="","",IF(I181&gt;=Ngưỡng!$B$5,1,0))</f>
        <v/>
      </c>
      <c r="R181" s="14" t="str">
        <f aca="false">IF(H181="","",IF(H181&lt;&gt;"Yên",1,0))</f>
        <v/>
      </c>
      <c r="S181" s="14" t="str">
        <f aca="false">IF(K181="","",IF(K181&gt;Ngưỡng!$B$6,1,0))</f>
        <v/>
      </c>
      <c r="T181" s="14" t="str">
        <f aca="false">IF(N181="","",IF(N181&gt;=Ngưỡng!$B$3,1,0))</f>
        <v/>
      </c>
      <c r="U181" s="14" t="n">
        <f aca="false">IF(I181=5,U180+1,0)</f>
        <v>0</v>
      </c>
      <c r="V181" s="14" t="n">
        <f aca="false">IF(AND(F181&lt;&gt;"",F181&gt;=2),V180+1,0)</f>
        <v>0</v>
      </c>
      <c r="W181" s="14" t="n">
        <f aca="false">IF(O181=0,W180+1,0)</f>
        <v>12</v>
      </c>
      <c r="X181" s="14" t="str">
        <f aca="false">IF(OR(E181="",F181=""),"",ROUND((10*(E181-1)+10*(2-MIN(F181,2)))/60*100,0))</f>
        <v/>
      </c>
    </row>
    <row r="182" customFormat="false" ht="15" hidden="false" customHeight="false" outlineLevel="0" collapsed="false">
      <c r="A182" s="4" t="s">
        <v>93</v>
      </c>
      <c r="B182" s="4" t="n">
        <v>13</v>
      </c>
      <c r="C182" s="4" t="n">
        <f aca="false">IF(B182&lt;=7,1,2)</f>
        <v>2</v>
      </c>
      <c r="D182" s="15"/>
      <c r="E182" s="15"/>
      <c r="F182" s="15"/>
      <c r="G182" s="15"/>
      <c r="H182" s="15"/>
      <c r="I182" s="15"/>
      <c r="J182" s="15"/>
      <c r="K182" s="16"/>
      <c r="L182" s="16"/>
      <c r="M182" s="15"/>
      <c r="N182" s="14" t="str">
        <f aca="false">IF(OR(E182="",F182="",G182=""),"",10*(E182-1)+10*(G182-1)+10*(2-MIN(F182,2)))</f>
        <v/>
      </c>
      <c r="O182" s="14" t="n">
        <f aca="false">IF(AND(N182&lt;&gt;"",I182&lt;&gt;""),1,0)</f>
        <v>0</v>
      </c>
      <c r="P182" s="14" t="str">
        <f aca="false">IF(N182="","",IF(N182&lt;Ngưỡng!$B$4,1,0))</f>
        <v/>
      </c>
      <c r="Q182" s="14" t="str">
        <f aca="false">IF(I182="","",IF(I182&gt;=Ngưỡng!$B$5,1,0))</f>
        <v/>
      </c>
      <c r="R182" s="14" t="str">
        <f aca="false">IF(H182="","",IF(H182&lt;&gt;"Yên",1,0))</f>
        <v/>
      </c>
      <c r="S182" s="14" t="str">
        <f aca="false">IF(K182="","",IF(K182&gt;Ngưỡng!$B$6,1,0))</f>
        <v/>
      </c>
      <c r="T182" s="14" t="str">
        <f aca="false">IF(N182="","",IF(N182&gt;=Ngưỡng!$B$3,1,0))</f>
        <v/>
      </c>
      <c r="U182" s="14" t="n">
        <f aca="false">IF(I182=5,U181+1,0)</f>
        <v>0</v>
      </c>
      <c r="V182" s="14" t="n">
        <f aca="false">IF(AND(F182&lt;&gt;"",F182&gt;=2),V181+1,0)</f>
        <v>0</v>
      </c>
      <c r="W182" s="14" t="n">
        <f aca="false">IF(O182=0,W181+1,0)</f>
        <v>13</v>
      </c>
      <c r="X182" s="14" t="str">
        <f aca="false">IF(OR(E182="",F182=""),"",ROUND((10*(E182-1)+10*(2-MIN(F182,2)))/60*100,0))</f>
        <v/>
      </c>
    </row>
    <row r="183" customFormat="false" ht="15" hidden="false" customHeight="false" outlineLevel="0" collapsed="false">
      <c r="A183" s="4" t="s">
        <v>93</v>
      </c>
      <c r="B183" s="4" t="n">
        <v>14</v>
      </c>
      <c r="C183" s="4" t="n">
        <f aca="false">IF(B183&lt;=7,1,2)</f>
        <v>2</v>
      </c>
      <c r="D183" s="15"/>
      <c r="E183" s="15"/>
      <c r="F183" s="15"/>
      <c r="G183" s="15"/>
      <c r="H183" s="15"/>
      <c r="I183" s="15"/>
      <c r="J183" s="15"/>
      <c r="K183" s="16"/>
      <c r="L183" s="16"/>
      <c r="M183" s="15"/>
      <c r="N183" s="14" t="str">
        <f aca="false">IF(OR(E183="",F183="",G183=""),"",10*(E183-1)+10*(G183-1)+10*(2-MIN(F183,2)))</f>
        <v/>
      </c>
      <c r="O183" s="14" t="n">
        <f aca="false">IF(AND(N183&lt;&gt;"",I183&lt;&gt;""),1,0)</f>
        <v>0</v>
      </c>
      <c r="P183" s="14" t="str">
        <f aca="false">IF(N183="","",IF(N183&lt;Ngưỡng!$B$4,1,0))</f>
        <v/>
      </c>
      <c r="Q183" s="14" t="str">
        <f aca="false">IF(I183="","",IF(I183&gt;=Ngưỡng!$B$5,1,0))</f>
        <v/>
      </c>
      <c r="R183" s="14" t="str">
        <f aca="false">IF(H183="","",IF(H183&lt;&gt;"Yên",1,0))</f>
        <v/>
      </c>
      <c r="S183" s="14" t="str">
        <f aca="false">IF(K183="","",IF(K183&gt;Ngưỡng!$B$6,1,0))</f>
        <v/>
      </c>
      <c r="T183" s="14" t="str">
        <f aca="false">IF(N183="","",IF(N183&gt;=Ngưỡng!$B$3,1,0))</f>
        <v/>
      </c>
      <c r="U183" s="14" t="n">
        <f aca="false">IF(I183=5,U182+1,0)</f>
        <v>0</v>
      </c>
      <c r="V183" s="14" t="n">
        <f aca="false">IF(AND(F183&lt;&gt;"",F183&gt;=2),V182+1,0)</f>
        <v>0</v>
      </c>
      <c r="W183" s="14" t="n">
        <f aca="false">IF(O183=0,W182+1,0)</f>
        <v>14</v>
      </c>
      <c r="X183" s="14" t="str">
        <f aca="false">IF(OR(E183="",F183=""),"",ROUND((10*(E183-1)+10*(2-MIN(F183,2)))/60*100,0))</f>
        <v/>
      </c>
    </row>
    <row r="184" customFormat="false" ht="15" hidden="false" customHeight="false" outlineLevel="0" collapsed="false">
      <c r="A184" s="4" t="s">
        <v>94</v>
      </c>
      <c r="B184" s="4" t="n">
        <v>1</v>
      </c>
      <c r="C184" s="4" t="n">
        <f aca="false">IF(B184&lt;=7,1,2)</f>
        <v>1</v>
      </c>
      <c r="D184" s="15"/>
      <c r="E184" s="15"/>
      <c r="F184" s="15"/>
      <c r="G184" s="15"/>
      <c r="H184" s="15"/>
      <c r="I184" s="15"/>
      <c r="J184" s="15"/>
      <c r="K184" s="16"/>
      <c r="L184" s="16"/>
      <c r="M184" s="15"/>
      <c r="N184" s="14" t="str">
        <f aca="false">IF(OR(E184="",F184="",G184=""),"",10*(E184-1)+10*(G184-1)+10*(2-MIN(F184,2)))</f>
        <v/>
      </c>
      <c r="O184" s="14" t="n">
        <f aca="false">IF(AND(N184&lt;&gt;"",I184&lt;&gt;""),1,0)</f>
        <v>0</v>
      </c>
      <c r="P184" s="14" t="str">
        <f aca="false">IF(N184="","",IF(N184&lt;Ngưỡng!$B$4,1,0))</f>
        <v/>
      </c>
      <c r="Q184" s="14" t="str">
        <f aca="false">IF(I184="","",IF(I184&gt;=Ngưỡng!$B$5,1,0))</f>
        <v/>
      </c>
      <c r="R184" s="14" t="str">
        <f aca="false">IF(H184="","",IF(H184&lt;&gt;"Yên",1,0))</f>
        <v/>
      </c>
      <c r="S184" s="14" t="str">
        <f aca="false">IF(K184="","",IF(K184&gt;Ngưỡng!$B$6,1,0))</f>
        <v/>
      </c>
      <c r="T184" s="14" t="str">
        <f aca="false">IF(N184="","",IF(N184&gt;=Ngưỡng!$B$3,1,0))</f>
        <v/>
      </c>
      <c r="U184" s="14" t="n">
        <f aca="false">IF(I184=5,0+1,0)</f>
        <v>0</v>
      </c>
      <c r="V184" s="14" t="n">
        <f aca="false">IF(AND(F184&lt;&gt;"",F184&gt;=2),0+1,0)</f>
        <v>0</v>
      </c>
      <c r="W184" s="14" t="n">
        <f aca="false">IF(O184=0,0+1,0)</f>
        <v>1</v>
      </c>
      <c r="X184" s="14" t="str">
        <f aca="false">IF(OR(E184="",F184=""),"",ROUND((10*(E184-1)+10*(2-MIN(F184,2)))/60*100,0))</f>
        <v/>
      </c>
    </row>
    <row r="185" customFormat="false" ht="15" hidden="false" customHeight="false" outlineLevel="0" collapsed="false">
      <c r="A185" s="4" t="s">
        <v>94</v>
      </c>
      <c r="B185" s="4" t="n">
        <v>2</v>
      </c>
      <c r="C185" s="4" t="n">
        <f aca="false">IF(B185&lt;=7,1,2)</f>
        <v>1</v>
      </c>
      <c r="D185" s="15"/>
      <c r="E185" s="15"/>
      <c r="F185" s="15"/>
      <c r="G185" s="15"/>
      <c r="H185" s="15"/>
      <c r="I185" s="15"/>
      <c r="J185" s="15"/>
      <c r="K185" s="16"/>
      <c r="L185" s="16"/>
      <c r="M185" s="15"/>
      <c r="N185" s="14" t="str">
        <f aca="false">IF(OR(E185="",F185="",G185=""),"",10*(E185-1)+10*(G185-1)+10*(2-MIN(F185,2)))</f>
        <v/>
      </c>
      <c r="O185" s="14" t="n">
        <f aca="false">IF(AND(N185&lt;&gt;"",I185&lt;&gt;""),1,0)</f>
        <v>0</v>
      </c>
      <c r="P185" s="14" t="str">
        <f aca="false">IF(N185="","",IF(N185&lt;Ngưỡng!$B$4,1,0))</f>
        <v/>
      </c>
      <c r="Q185" s="14" t="str">
        <f aca="false">IF(I185="","",IF(I185&gt;=Ngưỡng!$B$5,1,0))</f>
        <v/>
      </c>
      <c r="R185" s="14" t="str">
        <f aca="false">IF(H185="","",IF(H185&lt;&gt;"Yên",1,0))</f>
        <v/>
      </c>
      <c r="S185" s="14" t="str">
        <f aca="false">IF(K185="","",IF(K185&gt;Ngưỡng!$B$6,1,0))</f>
        <v/>
      </c>
      <c r="T185" s="14" t="str">
        <f aca="false">IF(N185="","",IF(N185&gt;=Ngưỡng!$B$3,1,0))</f>
        <v/>
      </c>
      <c r="U185" s="14" t="n">
        <f aca="false">IF(I185=5,U184+1,0)</f>
        <v>0</v>
      </c>
      <c r="V185" s="14" t="n">
        <f aca="false">IF(AND(F185&lt;&gt;"",F185&gt;=2),V184+1,0)</f>
        <v>0</v>
      </c>
      <c r="W185" s="14" t="n">
        <f aca="false">IF(O185=0,W184+1,0)</f>
        <v>2</v>
      </c>
      <c r="X185" s="14" t="str">
        <f aca="false">IF(OR(E185="",F185=""),"",ROUND((10*(E185-1)+10*(2-MIN(F185,2)))/60*100,0))</f>
        <v/>
      </c>
    </row>
    <row r="186" customFormat="false" ht="15" hidden="false" customHeight="false" outlineLevel="0" collapsed="false">
      <c r="A186" s="4" t="s">
        <v>94</v>
      </c>
      <c r="B186" s="4" t="n">
        <v>3</v>
      </c>
      <c r="C186" s="4" t="n">
        <f aca="false">IF(B186&lt;=7,1,2)</f>
        <v>1</v>
      </c>
      <c r="D186" s="15"/>
      <c r="E186" s="15"/>
      <c r="F186" s="15"/>
      <c r="G186" s="15"/>
      <c r="H186" s="15"/>
      <c r="I186" s="15"/>
      <c r="J186" s="15"/>
      <c r="K186" s="16"/>
      <c r="L186" s="16"/>
      <c r="M186" s="15"/>
      <c r="N186" s="14" t="str">
        <f aca="false">IF(OR(E186="",F186="",G186=""),"",10*(E186-1)+10*(G186-1)+10*(2-MIN(F186,2)))</f>
        <v/>
      </c>
      <c r="O186" s="14" t="n">
        <f aca="false">IF(AND(N186&lt;&gt;"",I186&lt;&gt;""),1,0)</f>
        <v>0</v>
      </c>
      <c r="P186" s="14" t="str">
        <f aca="false">IF(N186="","",IF(N186&lt;Ngưỡng!$B$4,1,0))</f>
        <v/>
      </c>
      <c r="Q186" s="14" t="str">
        <f aca="false">IF(I186="","",IF(I186&gt;=Ngưỡng!$B$5,1,0))</f>
        <v/>
      </c>
      <c r="R186" s="14" t="str">
        <f aca="false">IF(H186="","",IF(H186&lt;&gt;"Yên",1,0))</f>
        <v/>
      </c>
      <c r="S186" s="14" t="str">
        <f aca="false">IF(K186="","",IF(K186&gt;Ngưỡng!$B$6,1,0))</f>
        <v/>
      </c>
      <c r="T186" s="14" t="str">
        <f aca="false">IF(N186="","",IF(N186&gt;=Ngưỡng!$B$3,1,0))</f>
        <v/>
      </c>
      <c r="U186" s="14" t="n">
        <f aca="false">IF(I186=5,U185+1,0)</f>
        <v>0</v>
      </c>
      <c r="V186" s="14" t="n">
        <f aca="false">IF(AND(F186&lt;&gt;"",F186&gt;=2),V185+1,0)</f>
        <v>0</v>
      </c>
      <c r="W186" s="14" t="n">
        <f aca="false">IF(O186=0,W185+1,0)</f>
        <v>3</v>
      </c>
      <c r="X186" s="14" t="str">
        <f aca="false">IF(OR(E186="",F186=""),"",ROUND((10*(E186-1)+10*(2-MIN(F186,2)))/60*100,0))</f>
        <v/>
      </c>
    </row>
    <row r="187" customFormat="false" ht="15" hidden="false" customHeight="false" outlineLevel="0" collapsed="false">
      <c r="A187" s="4" t="s">
        <v>94</v>
      </c>
      <c r="B187" s="4" t="n">
        <v>4</v>
      </c>
      <c r="C187" s="4" t="n">
        <f aca="false">IF(B187&lt;=7,1,2)</f>
        <v>1</v>
      </c>
      <c r="D187" s="15"/>
      <c r="E187" s="15"/>
      <c r="F187" s="15"/>
      <c r="G187" s="15"/>
      <c r="H187" s="15"/>
      <c r="I187" s="15"/>
      <c r="J187" s="15"/>
      <c r="K187" s="16"/>
      <c r="L187" s="16"/>
      <c r="M187" s="15"/>
      <c r="N187" s="14" t="str">
        <f aca="false">IF(OR(E187="",F187="",G187=""),"",10*(E187-1)+10*(G187-1)+10*(2-MIN(F187,2)))</f>
        <v/>
      </c>
      <c r="O187" s="14" t="n">
        <f aca="false">IF(AND(N187&lt;&gt;"",I187&lt;&gt;""),1,0)</f>
        <v>0</v>
      </c>
      <c r="P187" s="14" t="str">
        <f aca="false">IF(N187="","",IF(N187&lt;Ngưỡng!$B$4,1,0))</f>
        <v/>
      </c>
      <c r="Q187" s="14" t="str">
        <f aca="false">IF(I187="","",IF(I187&gt;=Ngưỡng!$B$5,1,0))</f>
        <v/>
      </c>
      <c r="R187" s="14" t="str">
        <f aca="false">IF(H187="","",IF(H187&lt;&gt;"Yên",1,0))</f>
        <v/>
      </c>
      <c r="S187" s="14" t="str">
        <f aca="false">IF(K187="","",IF(K187&gt;Ngưỡng!$B$6,1,0))</f>
        <v/>
      </c>
      <c r="T187" s="14" t="str">
        <f aca="false">IF(N187="","",IF(N187&gt;=Ngưỡng!$B$3,1,0))</f>
        <v/>
      </c>
      <c r="U187" s="14" t="n">
        <f aca="false">IF(I187=5,U186+1,0)</f>
        <v>0</v>
      </c>
      <c r="V187" s="14" t="n">
        <f aca="false">IF(AND(F187&lt;&gt;"",F187&gt;=2),V186+1,0)</f>
        <v>0</v>
      </c>
      <c r="W187" s="14" t="n">
        <f aca="false">IF(O187=0,W186+1,0)</f>
        <v>4</v>
      </c>
      <c r="X187" s="14" t="str">
        <f aca="false">IF(OR(E187="",F187=""),"",ROUND((10*(E187-1)+10*(2-MIN(F187,2)))/60*100,0))</f>
        <v/>
      </c>
    </row>
    <row r="188" customFormat="false" ht="15" hidden="false" customHeight="false" outlineLevel="0" collapsed="false">
      <c r="A188" s="4" t="s">
        <v>94</v>
      </c>
      <c r="B188" s="4" t="n">
        <v>5</v>
      </c>
      <c r="C188" s="4" t="n">
        <f aca="false">IF(B188&lt;=7,1,2)</f>
        <v>1</v>
      </c>
      <c r="D188" s="15"/>
      <c r="E188" s="15"/>
      <c r="F188" s="15"/>
      <c r="G188" s="15"/>
      <c r="H188" s="15"/>
      <c r="I188" s="15"/>
      <c r="J188" s="15"/>
      <c r="K188" s="16"/>
      <c r="L188" s="16"/>
      <c r="M188" s="15"/>
      <c r="N188" s="14" t="str">
        <f aca="false">IF(OR(E188="",F188="",G188=""),"",10*(E188-1)+10*(G188-1)+10*(2-MIN(F188,2)))</f>
        <v/>
      </c>
      <c r="O188" s="14" t="n">
        <f aca="false">IF(AND(N188&lt;&gt;"",I188&lt;&gt;""),1,0)</f>
        <v>0</v>
      </c>
      <c r="P188" s="14" t="str">
        <f aca="false">IF(N188="","",IF(N188&lt;Ngưỡng!$B$4,1,0))</f>
        <v/>
      </c>
      <c r="Q188" s="14" t="str">
        <f aca="false">IF(I188="","",IF(I188&gt;=Ngưỡng!$B$5,1,0))</f>
        <v/>
      </c>
      <c r="R188" s="14" t="str">
        <f aca="false">IF(H188="","",IF(H188&lt;&gt;"Yên",1,0))</f>
        <v/>
      </c>
      <c r="S188" s="14" t="str">
        <f aca="false">IF(K188="","",IF(K188&gt;Ngưỡng!$B$6,1,0))</f>
        <v/>
      </c>
      <c r="T188" s="14" t="str">
        <f aca="false">IF(N188="","",IF(N188&gt;=Ngưỡng!$B$3,1,0))</f>
        <v/>
      </c>
      <c r="U188" s="14" t="n">
        <f aca="false">IF(I188=5,U187+1,0)</f>
        <v>0</v>
      </c>
      <c r="V188" s="14" t="n">
        <f aca="false">IF(AND(F188&lt;&gt;"",F188&gt;=2),V187+1,0)</f>
        <v>0</v>
      </c>
      <c r="W188" s="14" t="n">
        <f aca="false">IF(O188=0,W187+1,0)</f>
        <v>5</v>
      </c>
      <c r="X188" s="14" t="str">
        <f aca="false">IF(OR(E188="",F188=""),"",ROUND((10*(E188-1)+10*(2-MIN(F188,2)))/60*100,0))</f>
        <v/>
      </c>
    </row>
    <row r="189" customFormat="false" ht="15" hidden="false" customHeight="false" outlineLevel="0" collapsed="false">
      <c r="A189" s="4" t="s">
        <v>94</v>
      </c>
      <c r="B189" s="4" t="n">
        <v>6</v>
      </c>
      <c r="C189" s="4" t="n">
        <f aca="false">IF(B189&lt;=7,1,2)</f>
        <v>1</v>
      </c>
      <c r="D189" s="15"/>
      <c r="E189" s="15"/>
      <c r="F189" s="15"/>
      <c r="G189" s="15"/>
      <c r="H189" s="15"/>
      <c r="I189" s="15"/>
      <c r="J189" s="15"/>
      <c r="K189" s="16"/>
      <c r="L189" s="16"/>
      <c r="M189" s="15"/>
      <c r="N189" s="14" t="str">
        <f aca="false">IF(OR(E189="",F189="",G189=""),"",10*(E189-1)+10*(G189-1)+10*(2-MIN(F189,2)))</f>
        <v/>
      </c>
      <c r="O189" s="14" t="n">
        <f aca="false">IF(AND(N189&lt;&gt;"",I189&lt;&gt;""),1,0)</f>
        <v>0</v>
      </c>
      <c r="P189" s="14" t="str">
        <f aca="false">IF(N189="","",IF(N189&lt;Ngưỡng!$B$4,1,0))</f>
        <v/>
      </c>
      <c r="Q189" s="14" t="str">
        <f aca="false">IF(I189="","",IF(I189&gt;=Ngưỡng!$B$5,1,0))</f>
        <v/>
      </c>
      <c r="R189" s="14" t="str">
        <f aca="false">IF(H189="","",IF(H189&lt;&gt;"Yên",1,0))</f>
        <v/>
      </c>
      <c r="S189" s="14" t="str">
        <f aca="false">IF(K189="","",IF(K189&gt;Ngưỡng!$B$6,1,0))</f>
        <v/>
      </c>
      <c r="T189" s="14" t="str">
        <f aca="false">IF(N189="","",IF(N189&gt;=Ngưỡng!$B$3,1,0))</f>
        <v/>
      </c>
      <c r="U189" s="14" t="n">
        <f aca="false">IF(I189=5,U188+1,0)</f>
        <v>0</v>
      </c>
      <c r="V189" s="14" t="n">
        <f aca="false">IF(AND(F189&lt;&gt;"",F189&gt;=2),V188+1,0)</f>
        <v>0</v>
      </c>
      <c r="W189" s="14" t="n">
        <f aca="false">IF(O189=0,W188+1,0)</f>
        <v>6</v>
      </c>
      <c r="X189" s="14" t="str">
        <f aca="false">IF(OR(E189="",F189=""),"",ROUND((10*(E189-1)+10*(2-MIN(F189,2)))/60*100,0))</f>
        <v/>
      </c>
    </row>
    <row r="190" customFormat="false" ht="15" hidden="false" customHeight="false" outlineLevel="0" collapsed="false">
      <c r="A190" s="4" t="s">
        <v>94</v>
      </c>
      <c r="B190" s="4" t="n">
        <v>7</v>
      </c>
      <c r="C190" s="4" t="n">
        <f aca="false">IF(B190&lt;=7,1,2)</f>
        <v>1</v>
      </c>
      <c r="D190" s="15"/>
      <c r="E190" s="15"/>
      <c r="F190" s="15"/>
      <c r="G190" s="15"/>
      <c r="H190" s="15"/>
      <c r="I190" s="15"/>
      <c r="J190" s="15"/>
      <c r="K190" s="16"/>
      <c r="L190" s="16"/>
      <c r="M190" s="15"/>
      <c r="N190" s="14" t="str">
        <f aca="false">IF(OR(E190="",F190="",G190=""),"",10*(E190-1)+10*(G190-1)+10*(2-MIN(F190,2)))</f>
        <v/>
      </c>
      <c r="O190" s="14" t="n">
        <f aca="false">IF(AND(N190&lt;&gt;"",I190&lt;&gt;""),1,0)</f>
        <v>0</v>
      </c>
      <c r="P190" s="14" t="str">
        <f aca="false">IF(N190="","",IF(N190&lt;Ngưỡng!$B$4,1,0))</f>
        <v/>
      </c>
      <c r="Q190" s="14" t="str">
        <f aca="false">IF(I190="","",IF(I190&gt;=Ngưỡng!$B$5,1,0))</f>
        <v/>
      </c>
      <c r="R190" s="14" t="str">
        <f aca="false">IF(H190="","",IF(H190&lt;&gt;"Yên",1,0))</f>
        <v/>
      </c>
      <c r="S190" s="14" t="str">
        <f aca="false">IF(K190="","",IF(K190&gt;Ngưỡng!$B$6,1,0))</f>
        <v/>
      </c>
      <c r="T190" s="14" t="str">
        <f aca="false">IF(N190="","",IF(N190&gt;=Ngưỡng!$B$3,1,0))</f>
        <v/>
      </c>
      <c r="U190" s="14" t="n">
        <f aca="false">IF(I190=5,U189+1,0)</f>
        <v>0</v>
      </c>
      <c r="V190" s="14" t="n">
        <f aca="false">IF(AND(F190&lt;&gt;"",F190&gt;=2),V189+1,0)</f>
        <v>0</v>
      </c>
      <c r="W190" s="14" t="n">
        <f aca="false">IF(O190=0,W189+1,0)</f>
        <v>7</v>
      </c>
      <c r="X190" s="14" t="str">
        <f aca="false">IF(OR(E190="",F190=""),"",ROUND((10*(E190-1)+10*(2-MIN(F190,2)))/60*100,0))</f>
        <v/>
      </c>
    </row>
    <row r="191" customFormat="false" ht="15" hidden="false" customHeight="false" outlineLevel="0" collapsed="false">
      <c r="A191" s="4" t="s">
        <v>94</v>
      </c>
      <c r="B191" s="4" t="n">
        <v>8</v>
      </c>
      <c r="C191" s="4" t="n">
        <f aca="false">IF(B191&lt;=7,1,2)</f>
        <v>2</v>
      </c>
      <c r="D191" s="15"/>
      <c r="E191" s="15"/>
      <c r="F191" s="15"/>
      <c r="G191" s="15"/>
      <c r="H191" s="15"/>
      <c r="I191" s="15"/>
      <c r="J191" s="15"/>
      <c r="K191" s="16"/>
      <c r="L191" s="16"/>
      <c r="M191" s="15"/>
      <c r="N191" s="14" t="str">
        <f aca="false">IF(OR(E191="",F191="",G191=""),"",10*(E191-1)+10*(G191-1)+10*(2-MIN(F191,2)))</f>
        <v/>
      </c>
      <c r="O191" s="14" t="n">
        <f aca="false">IF(AND(N191&lt;&gt;"",I191&lt;&gt;""),1,0)</f>
        <v>0</v>
      </c>
      <c r="P191" s="14" t="str">
        <f aca="false">IF(N191="","",IF(N191&lt;Ngưỡng!$B$4,1,0))</f>
        <v/>
      </c>
      <c r="Q191" s="14" t="str">
        <f aca="false">IF(I191="","",IF(I191&gt;=Ngưỡng!$B$5,1,0))</f>
        <v/>
      </c>
      <c r="R191" s="14" t="str">
        <f aca="false">IF(H191="","",IF(H191&lt;&gt;"Yên",1,0))</f>
        <v/>
      </c>
      <c r="S191" s="14" t="str">
        <f aca="false">IF(K191="","",IF(K191&gt;Ngưỡng!$B$6,1,0))</f>
        <v/>
      </c>
      <c r="T191" s="14" t="str">
        <f aca="false">IF(N191="","",IF(N191&gt;=Ngưỡng!$B$3,1,0))</f>
        <v/>
      </c>
      <c r="U191" s="14" t="n">
        <f aca="false">IF(I191=5,U190+1,0)</f>
        <v>0</v>
      </c>
      <c r="V191" s="14" t="n">
        <f aca="false">IF(AND(F191&lt;&gt;"",F191&gt;=2),V190+1,0)</f>
        <v>0</v>
      </c>
      <c r="W191" s="14" t="n">
        <f aca="false">IF(O191=0,W190+1,0)</f>
        <v>8</v>
      </c>
      <c r="X191" s="14" t="str">
        <f aca="false">IF(OR(E191="",F191=""),"",ROUND((10*(E191-1)+10*(2-MIN(F191,2)))/60*100,0))</f>
        <v/>
      </c>
    </row>
    <row r="192" customFormat="false" ht="15" hidden="false" customHeight="false" outlineLevel="0" collapsed="false">
      <c r="A192" s="4" t="s">
        <v>94</v>
      </c>
      <c r="B192" s="4" t="n">
        <v>9</v>
      </c>
      <c r="C192" s="4" t="n">
        <f aca="false">IF(B192&lt;=7,1,2)</f>
        <v>2</v>
      </c>
      <c r="D192" s="15"/>
      <c r="E192" s="15"/>
      <c r="F192" s="15"/>
      <c r="G192" s="15"/>
      <c r="H192" s="15"/>
      <c r="I192" s="15"/>
      <c r="J192" s="15"/>
      <c r="K192" s="16"/>
      <c r="L192" s="16"/>
      <c r="M192" s="15"/>
      <c r="N192" s="14" t="str">
        <f aca="false">IF(OR(E192="",F192="",G192=""),"",10*(E192-1)+10*(G192-1)+10*(2-MIN(F192,2)))</f>
        <v/>
      </c>
      <c r="O192" s="14" t="n">
        <f aca="false">IF(AND(N192&lt;&gt;"",I192&lt;&gt;""),1,0)</f>
        <v>0</v>
      </c>
      <c r="P192" s="14" t="str">
        <f aca="false">IF(N192="","",IF(N192&lt;Ngưỡng!$B$4,1,0))</f>
        <v/>
      </c>
      <c r="Q192" s="14" t="str">
        <f aca="false">IF(I192="","",IF(I192&gt;=Ngưỡng!$B$5,1,0))</f>
        <v/>
      </c>
      <c r="R192" s="14" t="str">
        <f aca="false">IF(H192="","",IF(H192&lt;&gt;"Yên",1,0))</f>
        <v/>
      </c>
      <c r="S192" s="14" t="str">
        <f aca="false">IF(K192="","",IF(K192&gt;Ngưỡng!$B$6,1,0))</f>
        <v/>
      </c>
      <c r="T192" s="14" t="str">
        <f aca="false">IF(N192="","",IF(N192&gt;=Ngưỡng!$B$3,1,0))</f>
        <v/>
      </c>
      <c r="U192" s="14" t="n">
        <f aca="false">IF(I192=5,U191+1,0)</f>
        <v>0</v>
      </c>
      <c r="V192" s="14" t="n">
        <f aca="false">IF(AND(F192&lt;&gt;"",F192&gt;=2),V191+1,0)</f>
        <v>0</v>
      </c>
      <c r="W192" s="14" t="n">
        <f aca="false">IF(O192=0,W191+1,0)</f>
        <v>9</v>
      </c>
      <c r="X192" s="14" t="str">
        <f aca="false">IF(OR(E192="",F192=""),"",ROUND((10*(E192-1)+10*(2-MIN(F192,2)))/60*100,0))</f>
        <v/>
      </c>
    </row>
    <row r="193" customFormat="false" ht="15" hidden="false" customHeight="false" outlineLevel="0" collapsed="false">
      <c r="A193" s="4" t="s">
        <v>94</v>
      </c>
      <c r="B193" s="4" t="n">
        <v>10</v>
      </c>
      <c r="C193" s="4" t="n">
        <f aca="false">IF(B193&lt;=7,1,2)</f>
        <v>2</v>
      </c>
      <c r="D193" s="15"/>
      <c r="E193" s="15"/>
      <c r="F193" s="15"/>
      <c r="G193" s="15"/>
      <c r="H193" s="15"/>
      <c r="I193" s="15"/>
      <c r="J193" s="15"/>
      <c r="K193" s="16"/>
      <c r="L193" s="16"/>
      <c r="M193" s="15"/>
      <c r="N193" s="14" t="str">
        <f aca="false">IF(OR(E193="",F193="",G193=""),"",10*(E193-1)+10*(G193-1)+10*(2-MIN(F193,2)))</f>
        <v/>
      </c>
      <c r="O193" s="14" t="n">
        <f aca="false">IF(AND(N193&lt;&gt;"",I193&lt;&gt;""),1,0)</f>
        <v>0</v>
      </c>
      <c r="P193" s="14" t="str">
        <f aca="false">IF(N193="","",IF(N193&lt;Ngưỡng!$B$4,1,0))</f>
        <v/>
      </c>
      <c r="Q193" s="14" t="str">
        <f aca="false">IF(I193="","",IF(I193&gt;=Ngưỡng!$B$5,1,0))</f>
        <v/>
      </c>
      <c r="R193" s="14" t="str">
        <f aca="false">IF(H193="","",IF(H193&lt;&gt;"Yên",1,0))</f>
        <v/>
      </c>
      <c r="S193" s="14" t="str">
        <f aca="false">IF(K193="","",IF(K193&gt;Ngưỡng!$B$6,1,0))</f>
        <v/>
      </c>
      <c r="T193" s="14" t="str">
        <f aca="false">IF(N193="","",IF(N193&gt;=Ngưỡng!$B$3,1,0))</f>
        <v/>
      </c>
      <c r="U193" s="14" t="n">
        <f aca="false">IF(I193=5,U192+1,0)</f>
        <v>0</v>
      </c>
      <c r="V193" s="14" t="n">
        <f aca="false">IF(AND(F193&lt;&gt;"",F193&gt;=2),V192+1,0)</f>
        <v>0</v>
      </c>
      <c r="W193" s="14" t="n">
        <f aca="false">IF(O193=0,W192+1,0)</f>
        <v>10</v>
      </c>
      <c r="X193" s="14" t="str">
        <f aca="false">IF(OR(E193="",F193=""),"",ROUND((10*(E193-1)+10*(2-MIN(F193,2)))/60*100,0))</f>
        <v/>
      </c>
    </row>
    <row r="194" customFormat="false" ht="15" hidden="false" customHeight="false" outlineLevel="0" collapsed="false">
      <c r="A194" s="4" t="s">
        <v>94</v>
      </c>
      <c r="B194" s="4" t="n">
        <v>11</v>
      </c>
      <c r="C194" s="4" t="n">
        <f aca="false">IF(B194&lt;=7,1,2)</f>
        <v>2</v>
      </c>
      <c r="D194" s="15"/>
      <c r="E194" s="15"/>
      <c r="F194" s="15"/>
      <c r="G194" s="15"/>
      <c r="H194" s="15"/>
      <c r="I194" s="15"/>
      <c r="J194" s="15"/>
      <c r="K194" s="16"/>
      <c r="L194" s="16"/>
      <c r="M194" s="15"/>
      <c r="N194" s="14" t="str">
        <f aca="false">IF(OR(E194="",F194="",G194=""),"",10*(E194-1)+10*(G194-1)+10*(2-MIN(F194,2)))</f>
        <v/>
      </c>
      <c r="O194" s="14" t="n">
        <f aca="false">IF(AND(N194&lt;&gt;"",I194&lt;&gt;""),1,0)</f>
        <v>0</v>
      </c>
      <c r="P194" s="14" t="str">
        <f aca="false">IF(N194="","",IF(N194&lt;Ngưỡng!$B$4,1,0))</f>
        <v/>
      </c>
      <c r="Q194" s="14" t="str">
        <f aca="false">IF(I194="","",IF(I194&gt;=Ngưỡng!$B$5,1,0))</f>
        <v/>
      </c>
      <c r="R194" s="14" t="str">
        <f aca="false">IF(H194="","",IF(H194&lt;&gt;"Yên",1,0))</f>
        <v/>
      </c>
      <c r="S194" s="14" t="str">
        <f aca="false">IF(K194="","",IF(K194&gt;Ngưỡng!$B$6,1,0))</f>
        <v/>
      </c>
      <c r="T194" s="14" t="str">
        <f aca="false">IF(N194="","",IF(N194&gt;=Ngưỡng!$B$3,1,0))</f>
        <v/>
      </c>
      <c r="U194" s="14" t="n">
        <f aca="false">IF(I194=5,U193+1,0)</f>
        <v>0</v>
      </c>
      <c r="V194" s="14" t="n">
        <f aca="false">IF(AND(F194&lt;&gt;"",F194&gt;=2),V193+1,0)</f>
        <v>0</v>
      </c>
      <c r="W194" s="14" t="n">
        <f aca="false">IF(O194=0,W193+1,0)</f>
        <v>11</v>
      </c>
      <c r="X194" s="14" t="str">
        <f aca="false">IF(OR(E194="",F194=""),"",ROUND((10*(E194-1)+10*(2-MIN(F194,2)))/60*100,0))</f>
        <v/>
      </c>
    </row>
    <row r="195" customFormat="false" ht="15" hidden="false" customHeight="false" outlineLevel="0" collapsed="false">
      <c r="A195" s="4" t="s">
        <v>94</v>
      </c>
      <c r="B195" s="4" t="n">
        <v>12</v>
      </c>
      <c r="C195" s="4" t="n">
        <f aca="false">IF(B195&lt;=7,1,2)</f>
        <v>2</v>
      </c>
      <c r="D195" s="15"/>
      <c r="E195" s="15"/>
      <c r="F195" s="15"/>
      <c r="G195" s="15"/>
      <c r="H195" s="15"/>
      <c r="I195" s="15"/>
      <c r="J195" s="15"/>
      <c r="K195" s="16"/>
      <c r="L195" s="16"/>
      <c r="M195" s="15"/>
      <c r="N195" s="14" t="str">
        <f aca="false">IF(OR(E195="",F195="",G195=""),"",10*(E195-1)+10*(G195-1)+10*(2-MIN(F195,2)))</f>
        <v/>
      </c>
      <c r="O195" s="14" t="n">
        <f aca="false">IF(AND(N195&lt;&gt;"",I195&lt;&gt;""),1,0)</f>
        <v>0</v>
      </c>
      <c r="P195" s="14" t="str">
        <f aca="false">IF(N195="","",IF(N195&lt;Ngưỡng!$B$4,1,0))</f>
        <v/>
      </c>
      <c r="Q195" s="14" t="str">
        <f aca="false">IF(I195="","",IF(I195&gt;=Ngưỡng!$B$5,1,0))</f>
        <v/>
      </c>
      <c r="R195" s="14" t="str">
        <f aca="false">IF(H195="","",IF(H195&lt;&gt;"Yên",1,0))</f>
        <v/>
      </c>
      <c r="S195" s="14" t="str">
        <f aca="false">IF(K195="","",IF(K195&gt;Ngưỡng!$B$6,1,0))</f>
        <v/>
      </c>
      <c r="T195" s="14" t="str">
        <f aca="false">IF(N195="","",IF(N195&gt;=Ngưỡng!$B$3,1,0))</f>
        <v/>
      </c>
      <c r="U195" s="14" t="n">
        <f aca="false">IF(I195=5,U194+1,0)</f>
        <v>0</v>
      </c>
      <c r="V195" s="14" t="n">
        <f aca="false">IF(AND(F195&lt;&gt;"",F195&gt;=2),V194+1,0)</f>
        <v>0</v>
      </c>
      <c r="W195" s="14" t="n">
        <f aca="false">IF(O195=0,W194+1,0)</f>
        <v>12</v>
      </c>
      <c r="X195" s="14" t="str">
        <f aca="false">IF(OR(E195="",F195=""),"",ROUND((10*(E195-1)+10*(2-MIN(F195,2)))/60*100,0))</f>
        <v/>
      </c>
    </row>
    <row r="196" customFormat="false" ht="15" hidden="false" customHeight="false" outlineLevel="0" collapsed="false">
      <c r="A196" s="4" t="s">
        <v>94</v>
      </c>
      <c r="B196" s="4" t="n">
        <v>13</v>
      </c>
      <c r="C196" s="4" t="n">
        <f aca="false">IF(B196&lt;=7,1,2)</f>
        <v>2</v>
      </c>
      <c r="D196" s="15"/>
      <c r="E196" s="15"/>
      <c r="F196" s="15"/>
      <c r="G196" s="15"/>
      <c r="H196" s="15"/>
      <c r="I196" s="15"/>
      <c r="J196" s="15"/>
      <c r="K196" s="16"/>
      <c r="L196" s="16"/>
      <c r="M196" s="15"/>
      <c r="N196" s="14" t="str">
        <f aca="false">IF(OR(E196="",F196="",G196=""),"",10*(E196-1)+10*(G196-1)+10*(2-MIN(F196,2)))</f>
        <v/>
      </c>
      <c r="O196" s="14" t="n">
        <f aca="false">IF(AND(N196&lt;&gt;"",I196&lt;&gt;""),1,0)</f>
        <v>0</v>
      </c>
      <c r="P196" s="14" t="str">
        <f aca="false">IF(N196="","",IF(N196&lt;Ngưỡng!$B$4,1,0))</f>
        <v/>
      </c>
      <c r="Q196" s="14" t="str">
        <f aca="false">IF(I196="","",IF(I196&gt;=Ngưỡng!$B$5,1,0))</f>
        <v/>
      </c>
      <c r="R196" s="14" t="str">
        <f aca="false">IF(H196="","",IF(H196&lt;&gt;"Yên",1,0))</f>
        <v/>
      </c>
      <c r="S196" s="14" t="str">
        <f aca="false">IF(K196="","",IF(K196&gt;Ngưỡng!$B$6,1,0))</f>
        <v/>
      </c>
      <c r="T196" s="14" t="str">
        <f aca="false">IF(N196="","",IF(N196&gt;=Ngưỡng!$B$3,1,0))</f>
        <v/>
      </c>
      <c r="U196" s="14" t="n">
        <f aca="false">IF(I196=5,U195+1,0)</f>
        <v>0</v>
      </c>
      <c r="V196" s="14" t="n">
        <f aca="false">IF(AND(F196&lt;&gt;"",F196&gt;=2),V195+1,0)</f>
        <v>0</v>
      </c>
      <c r="W196" s="14" t="n">
        <f aca="false">IF(O196=0,W195+1,0)</f>
        <v>13</v>
      </c>
      <c r="X196" s="14" t="str">
        <f aca="false">IF(OR(E196="",F196=""),"",ROUND((10*(E196-1)+10*(2-MIN(F196,2)))/60*100,0))</f>
        <v/>
      </c>
    </row>
    <row r="197" customFormat="false" ht="15" hidden="false" customHeight="false" outlineLevel="0" collapsed="false">
      <c r="A197" s="4" t="s">
        <v>94</v>
      </c>
      <c r="B197" s="4" t="n">
        <v>14</v>
      </c>
      <c r="C197" s="4" t="n">
        <f aca="false">IF(B197&lt;=7,1,2)</f>
        <v>2</v>
      </c>
      <c r="D197" s="15"/>
      <c r="E197" s="15"/>
      <c r="F197" s="15"/>
      <c r="G197" s="15"/>
      <c r="H197" s="15"/>
      <c r="I197" s="15"/>
      <c r="J197" s="15"/>
      <c r="K197" s="16"/>
      <c r="L197" s="16"/>
      <c r="M197" s="15"/>
      <c r="N197" s="14" t="str">
        <f aca="false">IF(OR(E197="",F197="",G197=""),"",10*(E197-1)+10*(G197-1)+10*(2-MIN(F197,2)))</f>
        <v/>
      </c>
      <c r="O197" s="14" t="n">
        <f aca="false">IF(AND(N197&lt;&gt;"",I197&lt;&gt;""),1,0)</f>
        <v>0</v>
      </c>
      <c r="P197" s="14" t="str">
        <f aca="false">IF(N197="","",IF(N197&lt;Ngưỡng!$B$4,1,0))</f>
        <v/>
      </c>
      <c r="Q197" s="14" t="str">
        <f aca="false">IF(I197="","",IF(I197&gt;=Ngưỡng!$B$5,1,0))</f>
        <v/>
      </c>
      <c r="R197" s="14" t="str">
        <f aca="false">IF(H197="","",IF(H197&lt;&gt;"Yên",1,0))</f>
        <v/>
      </c>
      <c r="S197" s="14" t="str">
        <f aca="false">IF(K197="","",IF(K197&gt;Ngưỡng!$B$6,1,0))</f>
        <v/>
      </c>
      <c r="T197" s="14" t="str">
        <f aca="false">IF(N197="","",IF(N197&gt;=Ngưỡng!$B$3,1,0))</f>
        <v/>
      </c>
      <c r="U197" s="14" t="n">
        <f aca="false">IF(I197=5,U196+1,0)</f>
        <v>0</v>
      </c>
      <c r="V197" s="14" t="n">
        <f aca="false">IF(AND(F197&lt;&gt;"",F197&gt;=2),V196+1,0)</f>
        <v>0</v>
      </c>
      <c r="W197" s="14" t="n">
        <f aca="false">IF(O197=0,W196+1,0)</f>
        <v>14</v>
      </c>
      <c r="X197" s="14" t="str">
        <f aca="false">IF(OR(E197="",F197=""),"",ROUND((10*(E197-1)+10*(2-MIN(F197,2)))/60*100,0))</f>
        <v/>
      </c>
    </row>
    <row r="198" customFormat="false" ht="15" hidden="false" customHeight="false" outlineLevel="0" collapsed="false">
      <c r="A198" s="4" t="s">
        <v>95</v>
      </c>
      <c r="B198" s="4" t="n">
        <v>1</v>
      </c>
      <c r="C198" s="4" t="n">
        <f aca="false">IF(B198&lt;=7,1,2)</f>
        <v>1</v>
      </c>
      <c r="D198" s="15"/>
      <c r="E198" s="15"/>
      <c r="F198" s="15"/>
      <c r="G198" s="15"/>
      <c r="H198" s="15"/>
      <c r="I198" s="15"/>
      <c r="J198" s="15"/>
      <c r="K198" s="16"/>
      <c r="L198" s="16"/>
      <c r="M198" s="15"/>
      <c r="N198" s="14" t="str">
        <f aca="false">IF(OR(E198="",F198="",G198=""),"",10*(E198-1)+10*(G198-1)+10*(2-MIN(F198,2)))</f>
        <v/>
      </c>
      <c r="O198" s="14" t="n">
        <f aca="false">IF(AND(N198&lt;&gt;"",I198&lt;&gt;""),1,0)</f>
        <v>0</v>
      </c>
      <c r="P198" s="14" t="str">
        <f aca="false">IF(N198="","",IF(N198&lt;Ngưỡng!$B$4,1,0))</f>
        <v/>
      </c>
      <c r="Q198" s="14" t="str">
        <f aca="false">IF(I198="","",IF(I198&gt;=Ngưỡng!$B$5,1,0))</f>
        <v/>
      </c>
      <c r="R198" s="14" t="str">
        <f aca="false">IF(H198="","",IF(H198&lt;&gt;"Yên",1,0))</f>
        <v/>
      </c>
      <c r="S198" s="14" t="str">
        <f aca="false">IF(K198="","",IF(K198&gt;Ngưỡng!$B$6,1,0))</f>
        <v/>
      </c>
      <c r="T198" s="14" t="str">
        <f aca="false">IF(N198="","",IF(N198&gt;=Ngưỡng!$B$3,1,0))</f>
        <v/>
      </c>
      <c r="U198" s="14" t="n">
        <f aca="false">IF(I198=5,0+1,0)</f>
        <v>0</v>
      </c>
      <c r="V198" s="14" t="n">
        <f aca="false">IF(AND(F198&lt;&gt;"",F198&gt;=2),0+1,0)</f>
        <v>0</v>
      </c>
      <c r="W198" s="14" t="n">
        <f aca="false">IF(O198=0,0+1,0)</f>
        <v>1</v>
      </c>
      <c r="X198" s="14" t="str">
        <f aca="false">IF(OR(E198="",F198=""),"",ROUND((10*(E198-1)+10*(2-MIN(F198,2)))/60*100,0))</f>
        <v/>
      </c>
    </row>
    <row r="199" customFormat="false" ht="15" hidden="false" customHeight="false" outlineLevel="0" collapsed="false">
      <c r="A199" s="4" t="s">
        <v>95</v>
      </c>
      <c r="B199" s="4" t="n">
        <v>2</v>
      </c>
      <c r="C199" s="4" t="n">
        <f aca="false">IF(B199&lt;=7,1,2)</f>
        <v>1</v>
      </c>
      <c r="D199" s="15"/>
      <c r="E199" s="15"/>
      <c r="F199" s="15"/>
      <c r="G199" s="15"/>
      <c r="H199" s="15"/>
      <c r="I199" s="15"/>
      <c r="J199" s="15"/>
      <c r="K199" s="16"/>
      <c r="L199" s="16"/>
      <c r="M199" s="15"/>
      <c r="N199" s="14" t="str">
        <f aca="false">IF(OR(E199="",F199="",G199=""),"",10*(E199-1)+10*(G199-1)+10*(2-MIN(F199,2)))</f>
        <v/>
      </c>
      <c r="O199" s="14" t="n">
        <f aca="false">IF(AND(N199&lt;&gt;"",I199&lt;&gt;""),1,0)</f>
        <v>0</v>
      </c>
      <c r="P199" s="14" t="str">
        <f aca="false">IF(N199="","",IF(N199&lt;Ngưỡng!$B$4,1,0))</f>
        <v/>
      </c>
      <c r="Q199" s="14" t="str">
        <f aca="false">IF(I199="","",IF(I199&gt;=Ngưỡng!$B$5,1,0))</f>
        <v/>
      </c>
      <c r="R199" s="14" t="str">
        <f aca="false">IF(H199="","",IF(H199&lt;&gt;"Yên",1,0))</f>
        <v/>
      </c>
      <c r="S199" s="14" t="str">
        <f aca="false">IF(K199="","",IF(K199&gt;Ngưỡng!$B$6,1,0))</f>
        <v/>
      </c>
      <c r="T199" s="14" t="str">
        <f aca="false">IF(N199="","",IF(N199&gt;=Ngưỡng!$B$3,1,0))</f>
        <v/>
      </c>
      <c r="U199" s="14" t="n">
        <f aca="false">IF(I199=5,U198+1,0)</f>
        <v>0</v>
      </c>
      <c r="V199" s="14" t="n">
        <f aca="false">IF(AND(F199&lt;&gt;"",F199&gt;=2),V198+1,0)</f>
        <v>0</v>
      </c>
      <c r="W199" s="14" t="n">
        <f aca="false">IF(O199=0,W198+1,0)</f>
        <v>2</v>
      </c>
      <c r="X199" s="14" t="str">
        <f aca="false">IF(OR(E199="",F199=""),"",ROUND((10*(E199-1)+10*(2-MIN(F199,2)))/60*100,0))</f>
        <v/>
      </c>
    </row>
    <row r="200" customFormat="false" ht="15" hidden="false" customHeight="false" outlineLevel="0" collapsed="false">
      <c r="A200" s="4" t="s">
        <v>95</v>
      </c>
      <c r="B200" s="4" t="n">
        <v>3</v>
      </c>
      <c r="C200" s="4" t="n">
        <f aca="false">IF(B200&lt;=7,1,2)</f>
        <v>1</v>
      </c>
      <c r="D200" s="15"/>
      <c r="E200" s="15"/>
      <c r="F200" s="15"/>
      <c r="G200" s="15"/>
      <c r="H200" s="15"/>
      <c r="I200" s="15"/>
      <c r="J200" s="15"/>
      <c r="K200" s="16"/>
      <c r="L200" s="16"/>
      <c r="M200" s="15"/>
      <c r="N200" s="14" t="str">
        <f aca="false">IF(OR(E200="",F200="",G200=""),"",10*(E200-1)+10*(G200-1)+10*(2-MIN(F200,2)))</f>
        <v/>
      </c>
      <c r="O200" s="14" t="n">
        <f aca="false">IF(AND(N200&lt;&gt;"",I200&lt;&gt;""),1,0)</f>
        <v>0</v>
      </c>
      <c r="P200" s="14" t="str">
        <f aca="false">IF(N200="","",IF(N200&lt;Ngưỡng!$B$4,1,0))</f>
        <v/>
      </c>
      <c r="Q200" s="14" t="str">
        <f aca="false">IF(I200="","",IF(I200&gt;=Ngưỡng!$B$5,1,0))</f>
        <v/>
      </c>
      <c r="R200" s="14" t="str">
        <f aca="false">IF(H200="","",IF(H200&lt;&gt;"Yên",1,0))</f>
        <v/>
      </c>
      <c r="S200" s="14" t="str">
        <f aca="false">IF(K200="","",IF(K200&gt;Ngưỡng!$B$6,1,0))</f>
        <v/>
      </c>
      <c r="T200" s="14" t="str">
        <f aca="false">IF(N200="","",IF(N200&gt;=Ngưỡng!$B$3,1,0))</f>
        <v/>
      </c>
      <c r="U200" s="14" t="n">
        <f aca="false">IF(I200=5,U199+1,0)</f>
        <v>0</v>
      </c>
      <c r="V200" s="14" t="n">
        <f aca="false">IF(AND(F200&lt;&gt;"",F200&gt;=2),V199+1,0)</f>
        <v>0</v>
      </c>
      <c r="W200" s="14" t="n">
        <f aca="false">IF(O200=0,W199+1,0)</f>
        <v>3</v>
      </c>
      <c r="X200" s="14" t="str">
        <f aca="false">IF(OR(E200="",F200=""),"",ROUND((10*(E200-1)+10*(2-MIN(F200,2)))/60*100,0))</f>
        <v/>
      </c>
    </row>
    <row r="201" customFormat="false" ht="15" hidden="false" customHeight="false" outlineLevel="0" collapsed="false">
      <c r="A201" s="4" t="s">
        <v>95</v>
      </c>
      <c r="B201" s="4" t="n">
        <v>4</v>
      </c>
      <c r="C201" s="4" t="n">
        <f aca="false">IF(B201&lt;=7,1,2)</f>
        <v>1</v>
      </c>
      <c r="D201" s="15"/>
      <c r="E201" s="15"/>
      <c r="F201" s="15"/>
      <c r="G201" s="15"/>
      <c r="H201" s="15"/>
      <c r="I201" s="15"/>
      <c r="J201" s="15"/>
      <c r="K201" s="16"/>
      <c r="L201" s="16"/>
      <c r="M201" s="15"/>
      <c r="N201" s="14" t="str">
        <f aca="false">IF(OR(E201="",F201="",G201=""),"",10*(E201-1)+10*(G201-1)+10*(2-MIN(F201,2)))</f>
        <v/>
      </c>
      <c r="O201" s="14" t="n">
        <f aca="false">IF(AND(N201&lt;&gt;"",I201&lt;&gt;""),1,0)</f>
        <v>0</v>
      </c>
      <c r="P201" s="14" t="str">
        <f aca="false">IF(N201="","",IF(N201&lt;Ngưỡng!$B$4,1,0))</f>
        <v/>
      </c>
      <c r="Q201" s="14" t="str">
        <f aca="false">IF(I201="","",IF(I201&gt;=Ngưỡng!$B$5,1,0))</f>
        <v/>
      </c>
      <c r="R201" s="14" t="str">
        <f aca="false">IF(H201="","",IF(H201&lt;&gt;"Yên",1,0))</f>
        <v/>
      </c>
      <c r="S201" s="14" t="str">
        <f aca="false">IF(K201="","",IF(K201&gt;Ngưỡng!$B$6,1,0))</f>
        <v/>
      </c>
      <c r="T201" s="14" t="str">
        <f aca="false">IF(N201="","",IF(N201&gt;=Ngưỡng!$B$3,1,0))</f>
        <v/>
      </c>
      <c r="U201" s="14" t="n">
        <f aca="false">IF(I201=5,U200+1,0)</f>
        <v>0</v>
      </c>
      <c r="V201" s="14" t="n">
        <f aca="false">IF(AND(F201&lt;&gt;"",F201&gt;=2),V200+1,0)</f>
        <v>0</v>
      </c>
      <c r="W201" s="14" t="n">
        <f aca="false">IF(O201=0,W200+1,0)</f>
        <v>4</v>
      </c>
      <c r="X201" s="14" t="str">
        <f aca="false">IF(OR(E201="",F201=""),"",ROUND((10*(E201-1)+10*(2-MIN(F201,2)))/60*100,0))</f>
        <v/>
      </c>
    </row>
    <row r="202" customFormat="false" ht="15" hidden="false" customHeight="false" outlineLevel="0" collapsed="false">
      <c r="A202" s="4" t="s">
        <v>95</v>
      </c>
      <c r="B202" s="4" t="n">
        <v>5</v>
      </c>
      <c r="C202" s="4" t="n">
        <f aca="false">IF(B202&lt;=7,1,2)</f>
        <v>1</v>
      </c>
      <c r="D202" s="15"/>
      <c r="E202" s="15"/>
      <c r="F202" s="15"/>
      <c r="G202" s="15"/>
      <c r="H202" s="15"/>
      <c r="I202" s="15"/>
      <c r="J202" s="15"/>
      <c r="K202" s="16"/>
      <c r="L202" s="16"/>
      <c r="M202" s="15"/>
      <c r="N202" s="14" t="str">
        <f aca="false">IF(OR(E202="",F202="",G202=""),"",10*(E202-1)+10*(G202-1)+10*(2-MIN(F202,2)))</f>
        <v/>
      </c>
      <c r="O202" s="14" t="n">
        <f aca="false">IF(AND(N202&lt;&gt;"",I202&lt;&gt;""),1,0)</f>
        <v>0</v>
      </c>
      <c r="P202" s="14" t="str">
        <f aca="false">IF(N202="","",IF(N202&lt;Ngưỡng!$B$4,1,0))</f>
        <v/>
      </c>
      <c r="Q202" s="14" t="str">
        <f aca="false">IF(I202="","",IF(I202&gt;=Ngưỡng!$B$5,1,0))</f>
        <v/>
      </c>
      <c r="R202" s="14" t="str">
        <f aca="false">IF(H202="","",IF(H202&lt;&gt;"Yên",1,0))</f>
        <v/>
      </c>
      <c r="S202" s="14" t="str">
        <f aca="false">IF(K202="","",IF(K202&gt;Ngưỡng!$B$6,1,0))</f>
        <v/>
      </c>
      <c r="T202" s="14" t="str">
        <f aca="false">IF(N202="","",IF(N202&gt;=Ngưỡng!$B$3,1,0))</f>
        <v/>
      </c>
      <c r="U202" s="14" t="n">
        <f aca="false">IF(I202=5,U201+1,0)</f>
        <v>0</v>
      </c>
      <c r="V202" s="14" t="n">
        <f aca="false">IF(AND(F202&lt;&gt;"",F202&gt;=2),V201+1,0)</f>
        <v>0</v>
      </c>
      <c r="W202" s="14" t="n">
        <f aca="false">IF(O202=0,W201+1,0)</f>
        <v>5</v>
      </c>
      <c r="X202" s="14" t="str">
        <f aca="false">IF(OR(E202="",F202=""),"",ROUND((10*(E202-1)+10*(2-MIN(F202,2)))/60*100,0))</f>
        <v/>
      </c>
    </row>
    <row r="203" customFormat="false" ht="15" hidden="false" customHeight="false" outlineLevel="0" collapsed="false">
      <c r="A203" s="4" t="s">
        <v>95</v>
      </c>
      <c r="B203" s="4" t="n">
        <v>6</v>
      </c>
      <c r="C203" s="4" t="n">
        <f aca="false">IF(B203&lt;=7,1,2)</f>
        <v>1</v>
      </c>
      <c r="D203" s="15"/>
      <c r="E203" s="15"/>
      <c r="F203" s="15"/>
      <c r="G203" s="15"/>
      <c r="H203" s="15"/>
      <c r="I203" s="15"/>
      <c r="J203" s="15"/>
      <c r="K203" s="16"/>
      <c r="L203" s="16"/>
      <c r="M203" s="15"/>
      <c r="N203" s="14" t="str">
        <f aca="false">IF(OR(E203="",F203="",G203=""),"",10*(E203-1)+10*(G203-1)+10*(2-MIN(F203,2)))</f>
        <v/>
      </c>
      <c r="O203" s="14" t="n">
        <f aca="false">IF(AND(N203&lt;&gt;"",I203&lt;&gt;""),1,0)</f>
        <v>0</v>
      </c>
      <c r="P203" s="14" t="str">
        <f aca="false">IF(N203="","",IF(N203&lt;Ngưỡng!$B$4,1,0))</f>
        <v/>
      </c>
      <c r="Q203" s="14" t="str">
        <f aca="false">IF(I203="","",IF(I203&gt;=Ngưỡng!$B$5,1,0))</f>
        <v/>
      </c>
      <c r="R203" s="14" t="str">
        <f aca="false">IF(H203="","",IF(H203&lt;&gt;"Yên",1,0))</f>
        <v/>
      </c>
      <c r="S203" s="14" t="str">
        <f aca="false">IF(K203="","",IF(K203&gt;Ngưỡng!$B$6,1,0))</f>
        <v/>
      </c>
      <c r="T203" s="14" t="str">
        <f aca="false">IF(N203="","",IF(N203&gt;=Ngưỡng!$B$3,1,0))</f>
        <v/>
      </c>
      <c r="U203" s="14" t="n">
        <f aca="false">IF(I203=5,U202+1,0)</f>
        <v>0</v>
      </c>
      <c r="V203" s="14" t="n">
        <f aca="false">IF(AND(F203&lt;&gt;"",F203&gt;=2),V202+1,0)</f>
        <v>0</v>
      </c>
      <c r="W203" s="14" t="n">
        <f aca="false">IF(O203=0,W202+1,0)</f>
        <v>6</v>
      </c>
      <c r="X203" s="14" t="str">
        <f aca="false">IF(OR(E203="",F203=""),"",ROUND((10*(E203-1)+10*(2-MIN(F203,2)))/60*100,0))</f>
        <v/>
      </c>
    </row>
    <row r="204" customFormat="false" ht="15" hidden="false" customHeight="false" outlineLevel="0" collapsed="false">
      <c r="A204" s="4" t="s">
        <v>95</v>
      </c>
      <c r="B204" s="4" t="n">
        <v>7</v>
      </c>
      <c r="C204" s="4" t="n">
        <f aca="false">IF(B204&lt;=7,1,2)</f>
        <v>1</v>
      </c>
      <c r="D204" s="15"/>
      <c r="E204" s="15"/>
      <c r="F204" s="15"/>
      <c r="G204" s="15"/>
      <c r="H204" s="15"/>
      <c r="I204" s="15"/>
      <c r="J204" s="15"/>
      <c r="K204" s="16"/>
      <c r="L204" s="16"/>
      <c r="M204" s="15"/>
      <c r="N204" s="14" t="str">
        <f aca="false">IF(OR(E204="",F204="",G204=""),"",10*(E204-1)+10*(G204-1)+10*(2-MIN(F204,2)))</f>
        <v/>
      </c>
      <c r="O204" s="14" t="n">
        <f aca="false">IF(AND(N204&lt;&gt;"",I204&lt;&gt;""),1,0)</f>
        <v>0</v>
      </c>
      <c r="P204" s="14" t="str">
        <f aca="false">IF(N204="","",IF(N204&lt;Ngưỡng!$B$4,1,0))</f>
        <v/>
      </c>
      <c r="Q204" s="14" t="str">
        <f aca="false">IF(I204="","",IF(I204&gt;=Ngưỡng!$B$5,1,0))</f>
        <v/>
      </c>
      <c r="R204" s="14" t="str">
        <f aca="false">IF(H204="","",IF(H204&lt;&gt;"Yên",1,0))</f>
        <v/>
      </c>
      <c r="S204" s="14" t="str">
        <f aca="false">IF(K204="","",IF(K204&gt;Ngưỡng!$B$6,1,0))</f>
        <v/>
      </c>
      <c r="T204" s="14" t="str">
        <f aca="false">IF(N204="","",IF(N204&gt;=Ngưỡng!$B$3,1,0))</f>
        <v/>
      </c>
      <c r="U204" s="14" t="n">
        <f aca="false">IF(I204=5,U203+1,0)</f>
        <v>0</v>
      </c>
      <c r="V204" s="14" t="n">
        <f aca="false">IF(AND(F204&lt;&gt;"",F204&gt;=2),V203+1,0)</f>
        <v>0</v>
      </c>
      <c r="W204" s="14" t="n">
        <f aca="false">IF(O204=0,W203+1,0)</f>
        <v>7</v>
      </c>
      <c r="X204" s="14" t="str">
        <f aca="false">IF(OR(E204="",F204=""),"",ROUND((10*(E204-1)+10*(2-MIN(F204,2)))/60*100,0))</f>
        <v/>
      </c>
    </row>
    <row r="205" customFormat="false" ht="15" hidden="false" customHeight="false" outlineLevel="0" collapsed="false">
      <c r="A205" s="4" t="s">
        <v>95</v>
      </c>
      <c r="B205" s="4" t="n">
        <v>8</v>
      </c>
      <c r="C205" s="4" t="n">
        <f aca="false">IF(B205&lt;=7,1,2)</f>
        <v>2</v>
      </c>
      <c r="D205" s="15"/>
      <c r="E205" s="15"/>
      <c r="F205" s="15"/>
      <c r="G205" s="15"/>
      <c r="H205" s="15"/>
      <c r="I205" s="15"/>
      <c r="J205" s="15"/>
      <c r="K205" s="16"/>
      <c r="L205" s="16"/>
      <c r="M205" s="15"/>
      <c r="N205" s="14" t="str">
        <f aca="false">IF(OR(E205="",F205="",G205=""),"",10*(E205-1)+10*(G205-1)+10*(2-MIN(F205,2)))</f>
        <v/>
      </c>
      <c r="O205" s="14" t="n">
        <f aca="false">IF(AND(N205&lt;&gt;"",I205&lt;&gt;""),1,0)</f>
        <v>0</v>
      </c>
      <c r="P205" s="14" t="str">
        <f aca="false">IF(N205="","",IF(N205&lt;Ngưỡng!$B$4,1,0))</f>
        <v/>
      </c>
      <c r="Q205" s="14" t="str">
        <f aca="false">IF(I205="","",IF(I205&gt;=Ngưỡng!$B$5,1,0))</f>
        <v/>
      </c>
      <c r="R205" s="14" t="str">
        <f aca="false">IF(H205="","",IF(H205&lt;&gt;"Yên",1,0))</f>
        <v/>
      </c>
      <c r="S205" s="14" t="str">
        <f aca="false">IF(K205="","",IF(K205&gt;Ngưỡng!$B$6,1,0))</f>
        <v/>
      </c>
      <c r="T205" s="14" t="str">
        <f aca="false">IF(N205="","",IF(N205&gt;=Ngưỡng!$B$3,1,0))</f>
        <v/>
      </c>
      <c r="U205" s="14" t="n">
        <f aca="false">IF(I205=5,U204+1,0)</f>
        <v>0</v>
      </c>
      <c r="V205" s="14" t="n">
        <f aca="false">IF(AND(F205&lt;&gt;"",F205&gt;=2),V204+1,0)</f>
        <v>0</v>
      </c>
      <c r="W205" s="14" t="n">
        <f aca="false">IF(O205=0,W204+1,0)</f>
        <v>8</v>
      </c>
      <c r="X205" s="14" t="str">
        <f aca="false">IF(OR(E205="",F205=""),"",ROUND((10*(E205-1)+10*(2-MIN(F205,2)))/60*100,0))</f>
        <v/>
      </c>
    </row>
    <row r="206" customFormat="false" ht="15" hidden="false" customHeight="false" outlineLevel="0" collapsed="false">
      <c r="A206" s="4" t="s">
        <v>95</v>
      </c>
      <c r="B206" s="4" t="n">
        <v>9</v>
      </c>
      <c r="C206" s="4" t="n">
        <f aca="false">IF(B206&lt;=7,1,2)</f>
        <v>2</v>
      </c>
      <c r="D206" s="15"/>
      <c r="E206" s="15"/>
      <c r="F206" s="15"/>
      <c r="G206" s="15"/>
      <c r="H206" s="15"/>
      <c r="I206" s="15"/>
      <c r="J206" s="15"/>
      <c r="K206" s="16"/>
      <c r="L206" s="16"/>
      <c r="M206" s="15"/>
      <c r="N206" s="14" t="str">
        <f aca="false">IF(OR(E206="",F206="",G206=""),"",10*(E206-1)+10*(G206-1)+10*(2-MIN(F206,2)))</f>
        <v/>
      </c>
      <c r="O206" s="14" t="n">
        <f aca="false">IF(AND(N206&lt;&gt;"",I206&lt;&gt;""),1,0)</f>
        <v>0</v>
      </c>
      <c r="P206" s="14" t="str">
        <f aca="false">IF(N206="","",IF(N206&lt;Ngưỡng!$B$4,1,0))</f>
        <v/>
      </c>
      <c r="Q206" s="14" t="str">
        <f aca="false">IF(I206="","",IF(I206&gt;=Ngưỡng!$B$5,1,0))</f>
        <v/>
      </c>
      <c r="R206" s="14" t="str">
        <f aca="false">IF(H206="","",IF(H206&lt;&gt;"Yên",1,0))</f>
        <v/>
      </c>
      <c r="S206" s="14" t="str">
        <f aca="false">IF(K206="","",IF(K206&gt;Ngưỡng!$B$6,1,0))</f>
        <v/>
      </c>
      <c r="T206" s="14" t="str">
        <f aca="false">IF(N206="","",IF(N206&gt;=Ngưỡng!$B$3,1,0))</f>
        <v/>
      </c>
      <c r="U206" s="14" t="n">
        <f aca="false">IF(I206=5,U205+1,0)</f>
        <v>0</v>
      </c>
      <c r="V206" s="14" t="n">
        <f aca="false">IF(AND(F206&lt;&gt;"",F206&gt;=2),V205+1,0)</f>
        <v>0</v>
      </c>
      <c r="W206" s="14" t="n">
        <f aca="false">IF(O206=0,W205+1,0)</f>
        <v>9</v>
      </c>
      <c r="X206" s="14" t="str">
        <f aca="false">IF(OR(E206="",F206=""),"",ROUND((10*(E206-1)+10*(2-MIN(F206,2)))/60*100,0))</f>
        <v/>
      </c>
    </row>
    <row r="207" customFormat="false" ht="15" hidden="false" customHeight="false" outlineLevel="0" collapsed="false">
      <c r="A207" s="4" t="s">
        <v>95</v>
      </c>
      <c r="B207" s="4" t="n">
        <v>10</v>
      </c>
      <c r="C207" s="4" t="n">
        <f aca="false">IF(B207&lt;=7,1,2)</f>
        <v>2</v>
      </c>
      <c r="D207" s="15"/>
      <c r="E207" s="15"/>
      <c r="F207" s="15"/>
      <c r="G207" s="15"/>
      <c r="H207" s="15"/>
      <c r="I207" s="15"/>
      <c r="J207" s="15"/>
      <c r="K207" s="16"/>
      <c r="L207" s="16"/>
      <c r="M207" s="15"/>
      <c r="N207" s="14" t="str">
        <f aca="false">IF(OR(E207="",F207="",G207=""),"",10*(E207-1)+10*(G207-1)+10*(2-MIN(F207,2)))</f>
        <v/>
      </c>
      <c r="O207" s="14" t="n">
        <f aca="false">IF(AND(N207&lt;&gt;"",I207&lt;&gt;""),1,0)</f>
        <v>0</v>
      </c>
      <c r="P207" s="14" t="str">
        <f aca="false">IF(N207="","",IF(N207&lt;Ngưỡng!$B$4,1,0))</f>
        <v/>
      </c>
      <c r="Q207" s="14" t="str">
        <f aca="false">IF(I207="","",IF(I207&gt;=Ngưỡng!$B$5,1,0))</f>
        <v/>
      </c>
      <c r="R207" s="14" t="str">
        <f aca="false">IF(H207="","",IF(H207&lt;&gt;"Yên",1,0))</f>
        <v/>
      </c>
      <c r="S207" s="14" t="str">
        <f aca="false">IF(K207="","",IF(K207&gt;Ngưỡng!$B$6,1,0))</f>
        <v/>
      </c>
      <c r="T207" s="14" t="str">
        <f aca="false">IF(N207="","",IF(N207&gt;=Ngưỡng!$B$3,1,0))</f>
        <v/>
      </c>
      <c r="U207" s="14" t="n">
        <f aca="false">IF(I207=5,U206+1,0)</f>
        <v>0</v>
      </c>
      <c r="V207" s="14" t="n">
        <f aca="false">IF(AND(F207&lt;&gt;"",F207&gt;=2),V206+1,0)</f>
        <v>0</v>
      </c>
      <c r="W207" s="14" t="n">
        <f aca="false">IF(O207=0,W206+1,0)</f>
        <v>10</v>
      </c>
      <c r="X207" s="14" t="str">
        <f aca="false">IF(OR(E207="",F207=""),"",ROUND((10*(E207-1)+10*(2-MIN(F207,2)))/60*100,0))</f>
        <v/>
      </c>
    </row>
    <row r="208" customFormat="false" ht="15" hidden="false" customHeight="false" outlineLevel="0" collapsed="false">
      <c r="A208" s="4" t="s">
        <v>95</v>
      </c>
      <c r="B208" s="4" t="n">
        <v>11</v>
      </c>
      <c r="C208" s="4" t="n">
        <f aca="false">IF(B208&lt;=7,1,2)</f>
        <v>2</v>
      </c>
      <c r="D208" s="15"/>
      <c r="E208" s="15"/>
      <c r="F208" s="15"/>
      <c r="G208" s="15"/>
      <c r="H208" s="15"/>
      <c r="I208" s="15"/>
      <c r="J208" s="15"/>
      <c r="K208" s="16"/>
      <c r="L208" s="16"/>
      <c r="M208" s="15"/>
      <c r="N208" s="14" t="str">
        <f aca="false">IF(OR(E208="",F208="",G208=""),"",10*(E208-1)+10*(G208-1)+10*(2-MIN(F208,2)))</f>
        <v/>
      </c>
      <c r="O208" s="14" t="n">
        <f aca="false">IF(AND(N208&lt;&gt;"",I208&lt;&gt;""),1,0)</f>
        <v>0</v>
      </c>
      <c r="P208" s="14" t="str">
        <f aca="false">IF(N208="","",IF(N208&lt;Ngưỡng!$B$4,1,0))</f>
        <v/>
      </c>
      <c r="Q208" s="14" t="str">
        <f aca="false">IF(I208="","",IF(I208&gt;=Ngưỡng!$B$5,1,0))</f>
        <v/>
      </c>
      <c r="R208" s="14" t="str">
        <f aca="false">IF(H208="","",IF(H208&lt;&gt;"Yên",1,0))</f>
        <v/>
      </c>
      <c r="S208" s="14" t="str">
        <f aca="false">IF(K208="","",IF(K208&gt;Ngưỡng!$B$6,1,0))</f>
        <v/>
      </c>
      <c r="T208" s="14" t="str">
        <f aca="false">IF(N208="","",IF(N208&gt;=Ngưỡng!$B$3,1,0))</f>
        <v/>
      </c>
      <c r="U208" s="14" t="n">
        <f aca="false">IF(I208=5,U207+1,0)</f>
        <v>0</v>
      </c>
      <c r="V208" s="14" t="n">
        <f aca="false">IF(AND(F208&lt;&gt;"",F208&gt;=2),V207+1,0)</f>
        <v>0</v>
      </c>
      <c r="W208" s="14" t="n">
        <f aca="false">IF(O208=0,W207+1,0)</f>
        <v>11</v>
      </c>
      <c r="X208" s="14" t="str">
        <f aca="false">IF(OR(E208="",F208=""),"",ROUND((10*(E208-1)+10*(2-MIN(F208,2)))/60*100,0))</f>
        <v/>
      </c>
    </row>
    <row r="209" customFormat="false" ht="15" hidden="false" customHeight="false" outlineLevel="0" collapsed="false">
      <c r="A209" s="4" t="s">
        <v>95</v>
      </c>
      <c r="B209" s="4" t="n">
        <v>12</v>
      </c>
      <c r="C209" s="4" t="n">
        <f aca="false">IF(B209&lt;=7,1,2)</f>
        <v>2</v>
      </c>
      <c r="D209" s="15"/>
      <c r="E209" s="15"/>
      <c r="F209" s="15"/>
      <c r="G209" s="15"/>
      <c r="H209" s="15"/>
      <c r="I209" s="15"/>
      <c r="J209" s="15"/>
      <c r="K209" s="16"/>
      <c r="L209" s="16"/>
      <c r="M209" s="15"/>
      <c r="N209" s="14" t="str">
        <f aca="false">IF(OR(E209="",F209="",G209=""),"",10*(E209-1)+10*(G209-1)+10*(2-MIN(F209,2)))</f>
        <v/>
      </c>
      <c r="O209" s="14" t="n">
        <f aca="false">IF(AND(N209&lt;&gt;"",I209&lt;&gt;""),1,0)</f>
        <v>0</v>
      </c>
      <c r="P209" s="14" t="str">
        <f aca="false">IF(N209="","",IF(N209&lt;Ngưỡng!$B$4,1,0))</f>
        <v/>
      </c>
      <c r="Q209" s="14" t="str">
        <f aca="false">IF(I209="","",IF(I209&gt;=Ngưỡng!$B$5,1,0))</f>
        <v/>
      </c>
      <c r="R209" s="14" t="str">
        <f aca="false">IF(H209="","",IF(H209&lt;&gt;"Yên",1,0))</f>
        <v/>
      </c>
      <c r="S209" s="14" t="str">
        <f aca="false">IF(K209="","",IF(K209&gt;Ngưỡng!$B$6,1,0))</f>
        <v/>
      </c>
      <c r="T209" s="14" t="str">
        <f aca="false">IF(N209="","",IF(N209&gt;=Ngưỡng!$B$3,1,0))</f>
        <v/>
      </c>
      <c r="U209" s="14" t="n">
        <f aca="false">IF(I209=5,U208+1,0)</f>
        <v>0</v>
      </c>
      <c r="V209" s="14" t="n">
        <f aca="false">IF(AND(F209&lt;&gt;"",F209&gt;=2),V208+1,0)</f>
        <v>0</v>
      </c>
      <c r="W209" s="14" t="n">
        <f aca="false">IF(O209=0,W208+1,0)</f>
        <v>12</v>
      </c>
      <c r="X209" s="14" t="str">
        <f aca="false">IF(OR(E209="",F209=""),"",ROUND((10*(E209-1)+10*(2-MIN(F209,2)))/60*100,0))</f>
        <v/>
      </c>
    </row>
    <row r="210" customFormat="false" ht="15" hidden="false" customHeight="false" outlineLevel="0" collapsed="false">
      <c r="A210" s="4" t="s">
        <v>95</v>
      </c>
      <c r="B210" s="4" t="n">
        <v>13</v>
      </c>
      <c r="C210" s="4" t="n">
        <f aca="false">IF(B210&lt;=7,1,2)</f>
        <v>2</v>
      </c>
      <c r="D210" s="15"/>
      <c r="E210" s="15"/>
      <c r="F210" s="15"/>
      <c r="G210" s="15"/>
      <c r="H210" s="15"/>
      <c r="I210" s="15"/>
      <c r="J210" s="15"/>
      <c r="K210" s="16"/>
      <c r="L210" s="16"/>
      <c r="M210" s="15"/>
      <c r="N210" s="14" t="str">
        <f aca="false">IF(OR(E210="",F210="",G210=""),"",10*(E210-1)+10*(G210-1)+10*(2-MIN(F210,2)))</f>
        <v/>
      </c>
      <c r="O210" s="14" t="n">
        <f aca="false">IF(AND(N210&lt;&gt;"",I210&lt;&gt;""),1,0)</f>
        <v>0</v>
      </c>
      <c r="P210" s="14" t="str">
        <f aca="false">IF(N210="","",IF(N210&lt;Ngưỡng!$B$4,1,0))</f>
        <v/>
      </c>
      <c r="Q210" s="14" t="str">
        <f aca="false">IF(I210="","",IF(I210&gt;=Ngưỡng!$B$5,1,0))</f>
        <v/>
      </c>
      <c r="R210" s="14" t="str">
        <f aca="false">IF(H210="","",IF(H210&lt;&gt;"Yên",1,0))</f>
        <v/>
      </c>
      <c r="S210" s="14" t="str">
        <f aca="false">IF(K210="","",IF(K210&gt;Ngưỡng!$B$6,1,0))</f>
        <v/>
      </c>
      <c r="T210" s="14" t="str">
        <f aca="false">IF(N210="","",IF(N210&gt;=Ngưỡng!$B$3,1,0))</f>
        <v/>
      </c>
      <c r="U210" s="14" t="n">
        <f aca="false">IF(I210=5,U209+1,0)</f>
        <v>0</v>
      </c>
      <c r="V210" s="14" t="n">
        <f aca="false">IF(AND(F210&lt;&gt;"",F210&gt;=2),V209+1,0)</f>
        <v>0</v>
      </c>
      <c r="W210" s="14" t="n">
        <f aca="false">IF(O210=0,W209+1,0)</f>
        <v>13</v>
      </c>
      <c r="X210" s="14" t="str">
        <f aca="false">IF(OR(E210="",F210=""),"",ROUND((10*(E210-1)+10*(2-MIN(F210,2)))/60*100,0))</f>
        <v/>
      </c>
    </row>
    <row r="211" customFormat="false" ht="15" hidden="false" customHeight="false" outlineLevel="0" collapsed="false">
      <c r="A211" s="4" t="s">
        <v>95</v>
      </c>
      <c r="B211" s="4" t="n">
        <v>14</v>
      </c>
      <c r="C211" s="4" t="n">
        <f aca="false">IF(B211&lt;=7,1,2)</f>
        <v>2</v>
      </c>
      <c r="D211" s="15"/>
      <c r="E211" s="15"/>
      <c r="F211" s="15"/>
      <c r="G211" s="15"/>
      <c r="H211" s="15"/>
      <c r="I211" s="15"/>
      <c r="J211" s="15"/>
      <c r="K211" s="16"/>
      <c r="L211" s="16"/>
      <c r="M211" s="15"/>
      <c r="N211" s="14" t="str">
        <f aca="false">IF(OR(E211="",F211="",G211=""),"",10*(E211-1)+10*(G211-1)+10*(2-MIN(F211,2)))</f>
        <v/>
      </c>
      <c r="O211" s="14" t="n">
        <f aca="false">IF(AND(N211&lt;&gt;"",I211&lt;&gt;""),1,0)</f>
        <v>0</v>
      </c>
      <c r="P211" s="14" t="str">
        <f aca="false">IF(N211="","",IF(N211&lt;Ngưỡng!$B$4,1,0))</f>
        <v/>
      </c>
      <c r="Q211" s="14" t="str">
        <f aca="false">IF(I211="","",IF(I211&gt;=Ngưỡng!$B$5,1,0))</f>
        <v/>
      </c>
      <c r="R211" s="14" t="str">
        <f aca="false">IF(H211="","",IF(H211&lt;&gt;"Yên",1,0))</f>
        <v/>
      </c>
      <c r="S211" s="14" t="str">
        <f aca="false">IF(K211="","",IF(K211&gt;Ngưỡng!$B$6,1,0))</f>
        <v/>
      </c>
      <c r="T211" s="14" t="str">
        <f aca="false">IF(N211="","",IF(N211&gt;=Ngưỡng!$B$3,1,0))</f>
        <v/>
      </c>
      <c r="U211" s="14" t="n">
        <f aca="false">IF(I211=5,U210+1,0)</f>
        <v>0</v>
      </c>
      <c r="V211" s="14" t="n">
        <f aca="false">IF(AND(F211&lt;&gt;"",F211&gt;=2),V210+1,0)</f>
        <v>0</v>
      </c>
      <c r="W211" s="14" t="n">
        <f aca="false">IF(O211=0,W210+1,0)</f>
        <v>14</v>
      </c>
      <c r="X211" s="14" t="str">
        <f aca="false">IF(OR(E211="",F211=""),"",ROUND((10*(E211-1)+10*(2-MIN(F211,2)))/60*100,0))</f>
        <v/>
      </c>
    </row>
    <row r="212" customFormat="false" ht="15" hidden="false" customHeight="false" outlineLevel="0" collapsed="false">
      <c r="A212" s="4" t="s">
        <v>96</v>
      </c>
      <c r="B212" s="4" t="n">
        <v>1</v>
      </c>
      <c r="C212" s="4" t="n">
        <f aca="false">IF(B212&lt;=7,1,2)</f>
        <v>1</v>
      </c>
      <c r="D212" s="15"/>
      <c r="E212" s="15"/>
      <c r="F212" s="15"/>
      <c r="G212" s="15"/>
      <c r="H212" s="15"/>
      <c r="I212" s="15"/>
      <c r="J212" s="15"/>
      <c r="K212" s="16"/>
      <c r="L212" s="16"/>
      <c r="M212" s="15"/>
      <c r="N212" s="14" t="str">
        <f aca="false">IF(OR(E212="",F212="",G212=""),"",10*(E212-1)+10*(G212-1)+10*(2-MIN(F212,2)))</f>
        <v/>
      </c>
      <c r="O212" s="14" t="n">
        <f aca="false">IF(AND(N212&lt;&gt;"",I212&lt;&gt;""),1,0)</f>
        <v>0</v>
      </c>
      <c r="P212" s="14" t="str">
        <f aca="false">IF(N212="","",IF(N212&lt;Ngưỡng!$B$4,1,0))</f>
        <v/>
      </c>
      <c r="Q212" s="14" t="str">
        <f aca="false">IF(I212="","",IF(I212&gt;=Ngưỡng!$B$5,1,0))</f>
        <v/>
      </c>
      <c r="R212" s="14" t="str">
        <f aca="false">IF(H212="","",IF(H212&lt;&gt;"Yên",1,0))</f>
        <v/>
      </c>
      <c r="S212" s="14" t="str">
        <f aca="false">IF(K212="","",IF(K212&gt;Ngưỡng!$B$6,1,0))</f>
        <v/>
      </c>
      <c r="T212" s="14" t="str">
        <f aca="false">IF(N212="","",IF(N212&gt;=Ngưỡng!$B$3,1,0))</f>
        <v/>
      </c>
      <c r="U212" s="14" t="n">
        <f aca="false">IF(I212=5,0+1,0)</f>
        <v>0</v>
      </c>
      <c r="V212" s="14" t="n">
        <f aca="false">IF(AND(F212&lt;&gt;"",F212&gt;=2),0+1,0)</f>
        <v>0</v>
      </c>
      <c r="W212" s="14" t="n">
        <f aca="false">IF(O212=0,0+1,0)</f>
        <v>1</v>
      </c>
      <c r="X212" s="14" t="str">
        <f aca="false">IF(OR(E212="",F212=""),"",ROUND((10*(E212-1)+10*(2-MIN(F212,2)))/60*100,0))</f>
        <v/>
      </c>
    </row>
    <row r="213" customFormat="false" ht="15" hidden="false" customHeight="false" outlineLevel="0" collapsed="false">
      <c r="A213" s="4" t="s">
        <v>96</v>
      </c>
      <c r="B213" s="4" t="n">
        <v>2</v>
      </c>
      <c r="C213" s="4" t="n">
        <f aca="false">IF(B213&lt;=7,1,2)</f>
        <v>1</v>
      </c>
      <c r="D213" s="15"/>
      <c r="E213" s="15"/>
      <c r="F213" s="15"/>
      <c r="G213" s="15"/>
      <c r="H213" s="15"/>
      <c r="I213" s="15"/>
      <c r="J213" s="15"/>
      <c r="K213" s="16"/>
      <c r="L213" s="16"/>
      <c r="M213" s="15"/>
      <c r="N213" s="14" t="str">
        <f aca="false">IF(OR(E213="",F213="",G213=""),"",10*(E213-1)+10*(G213-1)+10*(2-MIN(F213,2)))</f>
        <v/>
      </c>
      <c r="O213" s="14" t="n">
        <f aca="false">IF(AND(N213&lt;&gt;"",I213&lt;&gt;""),1,0)</f>
        <v>0</v>
      </c>
      <c r="P213" s="14" t="str">
        <f aca="false">IF(N213="","",IF(N213&lt;Ngưỡng!$B$4,1,0))</f>
        <v/>
      </c>
      <c r="Q213" s="14" t="str">
        <f aca="false">IF(I213="","",IF(I213&gt;=Ngưỡng!$B$5,1,0))</f>
        <v/>
      </c>
      <c r="R213" s="14" t="str">
        <f aca="false">IF(H213="","",IF(H213&lt;&gt;"Yên",1,0))</f>
        <v/>
      </c>
      <c r="S213" s="14" t="str">
        <f aca="false">IF(K213="","",IF(K213&gt;Ngưỡng!$B$6,1,0))</f>
        <v/>
      </c>
      <c r="T213" s="14" t="str">
        <f aca="false">IF(N213="","",IF(N213&gt;=Ngưỡng!$B$3,1,0))</f>
        <v/>
      </c>
      <c r="U213" s="14" t="n">
        <f aca="false">IF(I213=5,U212+1,0)</f>
        <v>0</v>
      </c>
      <c r="V213" s="14" t="n">
        <f aca="false">IF(AND(F213&lt;&gt;"",F213&gt;=2),V212+1,0)</f>
        <v>0</v>
      </c>
      <c r="W213" s="14" t="n">
        <f aca="false">IF(O213=0,W212+1,0)</f>
        <v>2</v>
      </c>
      <c r="X213" s="14" t="str">
        <f aca="false">IF(OR(E213="",F213=""),"",ROUND((10*(E213-1)+10*(2-MIN(F213,2)))/60*100,0))</f>
        <v/>
      </c>
    </row>
    <row r="214" customFormat="false" ht="15" hidden="false" customHeight="false" outlineLevel="0" collapsed="false">
      <c r="A214" s="4" t="s">
        <v>96</v>
      </c>
      <c r="B214" s="4" t="n">
        <v>3</v>
      </c>
      <c r="C214" s="4" t="n">
        <f aca="false">IF(B214&lt;=7,1,2)</f>
        <v>1</v>
      </c>
      <c r="D214" s="15"/>
      <c r="E214" s="15"/>
      <c r="F214" s="15"/>
      <c r="G214" s="15"/>
      <c r="H214" s="15"/>
      <c r="I214" s="15"/>
      <c r="J214" s="15"/>
      <c r="K214" s="16"/>
      <c r="L214" s="16"/>
      <c r="M214" s="15"/>
      <c r="N214" s="14" t="str">
        <f aca="false">IF(OR(E214="",F214="",G214=""),"",10*(E214-1)+10*(G214-1)+10*(2-MIN(F214,2)))</f>
        <v/>
      </c>
      <c r="O214" s="14" t="n">
        <f aca="false">IF(AND(N214&lt;&gt;"",I214&lt;&gt;""),1,0)</f>
        <v>0</v>
      </c>
      <c r="P214" s="14" t="str">
        <f aca="false">IF(N214="","",IF(N214&lt;Ngưỡng!$B$4,1,0))</f>
        <v/>
      </c>
      <c r="Q214" s="14" t="str">
        <f aca="false">IF(I214="","",IF(I214&gt;=Ngưỡng!$B$5,1,0))</f>
        <v/>
      </c>
      <c r="R214" s="14" t="str">
        <f aca="false">IF(H214="","",IF(H214&lt;&gt;"Yên",1,0))</f>
        <v/>
      </c>
      <c r="S214" s="14" t="str">
        <f aca="false">IF(K214="","",IF(K214&gt;Ngưỡng!$B$6,1,0))</f>
        <v/>
      </c>
      <c r="T214" s="14" t="str">
        <f aca="false">IF(N214="","",IF(N214&gt;=Ngưỡng!$B$3,1,0))</f>
        <v/>
      </c>
      <c r="U214" s="14" t="n">
        <f aca="false">IF(I214=5,U213+1,0)</f>
        <v>0</v>
      </c>
      <c r="V214" s="14" t="n">
        <f aca="false">IF(AND(F214&lt;&gt;"",F214&gt;=2),V213+1,0)</f>
        <v>0</v>
      </c>
      <c r="W214" s="14" t="n">
        <f aca="false">IF(O214=0,W213+1,0)</f>
        <v>3</v>
      </c>
      <c r="X214" s="14" t="str">
        <f aca="false">IF(OR(E214="",F214=""),"",ROUND((10*(E214-1)+10*(2-MIN(F214,2)))/60*100,0))</f>
        <v/>
      </c>
    </row>
    <row r="215" customFormat="false" ht="15" hidden="false" customHeight="false" outlineLevel="0" collapsed="false">
      <c r="A215" s="4" t="s">
        <v>96</v>
      </c>
      <c r="B215" s="4" t="n">
        <v>4</v>
      </c>
      <c r="C215" s="4" t="n">
        <f aca="false">IF(B215&lt;=7,1,2)</f>
        <v>1</v>
      </c>
      <c r="D215" s="15"/>
      <c r="E215" s="15"/>
      <c r="F215" s="15"/>
      <c r="G215" s="15"/>
      <c r="H215" s="15"/>
      <c r="I215" s="15"/>
      <c r="J215" s="15"/>
      <c r="K215" s="16"/>
      <c r="L215" s="16"/>
      <c r="M215" s="15"/>
      <c r="N215" s="14" t="str">
        <f aca="false">IF(OR(E215="",F215="",G215=""),"",10*(E215-1)+10*(G215-1)+10*(2-MIN(F215,2)))</f>
        <v/>
      </c>
      <c r="O215" s="14" t="n">
        <f aca="false">IF(AND(N215&lt;&gt;"",I215&lt;&gt;""),1,0)</f>
        <v>0</v>
      </c>
      <c r="P215" s="14" t="str">
        <f aca="false">IF(N215="","",IF(N215&lt;Ngưỡng!$B$4,1,0))</f>
        <v/>
      </c>
      <c r="Q215" s="14" t="str">
        <f aca="false">IF(I215="","",IF(I215&gt;=Ngưỡng!$B$5,1,0))</f>
        <v/>
      </c>
      <c r="R215" s="14" t="str">
        <f aca="false">IF(H215="","",IF(H215&lt;&gt;"Yên",1,0))</f>
        <v/>
      </c>
      <c r="S215" s="14" t="str">
        <f aca="false">IF(K215="","",IF(K215&gt;Ngưỡng!$B$6,1,0))</f>
        <v/>
      </c>
      <c r="T215" s="14" t="str">
        <f aca="false">IF(N215="","",IF(N215&gt;=Ngưỡng!$B$3,1,0))</f>
        <v/>
      </c>
      <c r="U215" s="14" t="n">
        <f aca="false">IF(I215=5,U214+1,0)</f>
        <v>0</v>
      </c>
      <c r="V215" s="14" t="n">
        <f aca="false">IF(AND(F215&lt;&gt;"",F215&gt;=2),V214+1,0)</f>
        <v>0</v>
      </c>
      <c r="W215" s="14" t="n">
        <f aca="false">IF(O215=0,W214+1,0)</f>
        <v>4</v>
      </c>
      <c r="X215" s="14" t="str">
        <f aca="false">IF(OR(E215="",F215=""),"",ROUND((10*(E215-1)+10*(2-MIN(F215,2)))/60*100,0))</f>
        <v/>
      </c>
    </row>
    <row r="216" customFormat="false" ht="15" hidden="false" customHeight="false" outlineLevel="0" collapsed="false">
      <c r="A216" s="4" t="s">
        <v>96</v>
      </c>
      <c r="B216" s="4" t="n">
        <v>5</v>
      </c>
      <c r="C216" s="4" t="n">
        <f aca="false">IF(B216&lt;=7,1,2)</f>
        <v>1</v>
      </c>
      <c r="D216" s="15"/>
      <c r="E216" s="15"/>
      <c r="F216" s="15"/>
      <c r="G216" s="15"/>
      <c r="H216" s="15"/>
      <c r="I216" s="15"/>
      <c r="J216" s="15"/>
      <c r="K216" s="16"/>
      <c r="L216" s="16"/>
      <c r="M216" s="15"/>
      <c r="N216" s="14" t="str">
        <f aca="false">IF(OR(E216="",F216="",G216=""),"",10*(E216-1)+10*(G216-1)+10*(2-MIN(F216,2)))</f>
        <v/>
      </c>
      <c r="O216" s="14" t="n">
        <f aca="false">IF(AND(N216&lt;&gt;"",I216&lt;&gt;""),1,0)</f>
        <v>0</v>
      </c>
      <c r="P216" s="14" t="str">
        <f aca="false">IF(N216="","",IF(N216&lt;Ngưỡng!$B$4,1,0))</f>
        <v/>
      </c>
      <c r="Q216" s="14" t="str">
        <f aca="false">IF(I216="","",IF(I216&gt;=Ngưỡng!$B$5,1,0))</f>
        <v/>
      </c>
      <c r="R216" s="14" t="str">
        <f aca="false">IF(H216="","",IF(H216&lt;&gt;"Yên",1,0))</f>
        <v/>
      </c>
      <c r="S216" s="14" t="str">
        <f aca="false">IF(K216="","",IF(K216&gt;Ngưỡng!$B$6,1,0))</f>
        <v/>
      </c>
      <c r="T216" s="14" t="str">
        <f aca="false">IF(N216="","",IF(N216&gt;=Ngưỡng!$B$3,1,0))</f>
        <v/>
      </c>
      <c r="U216" s="14" t="n">
        <f aca="false">IF(I216=5,U215+1,0)</f>
        <v>0</v>
      </c>
      <c r="V216" s="14" t="n">
        <f aca="false">IF(AND(F216&lt;&gt;"",F216&gt;=2),V215+1,0)</f>
        <v>0</v>
      </c>
      <c r="W216" s="14" t="n">
        <f aca="false">IF(O216=0,W215+1,0)</f>
        <v>5</v>
      </c>
      <c r="X216" s="14" t="str">
        <f aca="false">IF(OR(E216="",F216=""),"",ROUND((10*(E216-1)+10*(2-MIN(F216,2)))/60*100,0))</f>
        <v/>
      </c>
    </row>
    <row r="217" customFormat="false" ht="15" hidden="false" customHeight="false" outlineLevel="0" collapsed="false">
      <c r="A217" s="4" t="s">
        <v>96</v>
      </c>
      <c r="B217" s="4" t="n">
        <v>6</v>
      </c>
      <c r="C217" s="4" t="n">
        <f aca="false">IF(B217&lt;=7,1,2)</f>
        <v>1</v>
      </c>
      <c r="D217" s="15"/>
      <c r="E217" s="15"/>
      <c r="F217" s="15"/>
      <c r="G217" s="15"/>
      <c r="H217" s="15"/>
      <c r="I217" s="15"/>
      <c r="J217" s="15"/>
      <c r="K217" s="16"/>
      <c r="L217" s="16"/>
      <c r="M217" s="15"/>
      <c r="N217" s="14" t="str">
        <f aca="false">IF(OR(E217="",F217="",G217=""),"",10*(E217-1)+10*(G217-1)+10*(2-MIN(F217,2)))</f>
        <v/>
      </c>
      <c r="O217" s="14" t="n">
        <f aca="false">IF(AND(N217&lt;&gt;"",I217&lt;&gt;""),1,0)</f>
        <v>0</v>
      </c>
      <c r="P217" s="14" t="str">
        <f aca="false">IF(N217="","",IF(N217&lt;Ngưỡng!$B$4,1,0))</f>
        <v/>
      </c>
      <c r="Q217" s="14" t="str">
        <f aca="false">IF(I217="","",IF(I217&gt;=Ngưỡng!$B$5,1,0))</f>
        <v/>
      </c>
      <c r="R217" s="14" t="str">
        <f aca="false">IF(H217="","",IF(H217&lt;&gt;"Yên",1,0))</f>
        <v/>
      </c>
      <c r="S217" s="14" t="str">
        <f aca="false">IF(K217="","",IF(K217&gt;Ngưỡng!$B$6,1,0))</f>
        <v/>
      </c>
      <c r="T217" s="14" t="str">
        <f aca="false">IF(N217="","",IF(N217&gt;=Ngưỡng!$B$3,1,0))</f>
        <v/>
      </c>
      <c r="U217" s="14" t="n">
        <f aca="false">IF(I217=5,U216+1,0)</f>
        <v>0</v>
      </c>
      <c r="V217" s="14" t="n">
        <f aca="false">IF(AND(F217&lt;&gt;"",F217&gt;=2),V216+1,0)</f>
        <v>0</v>
      </c>
      <c r="W217" s="14" t="n">
        <f aca="false">IF(O217=0,W216+1,0)</f>
        <v>6</v>
      </c>
      <c r="X217" s="14" t="str">
        <f aca="false">IF(OR(E217="",F217=""),"",ROUND((10*(E217-1)+10*(2-MIN(F217,2)))/60*100,0))</f>
        <v/>
      </c>
    </row>
    <row r="218" customFormat="false" ht="15" hidden="false" customHeight="false" outlineLevel="0" collapsed="false">
      <c r="A218" s="4" t="s">
        <v>96</v>
      </c>
      <c r="B218" s="4" t="n">
        <v>7</v>
      </c>
      <c r="C218" s="4" t="n">
        <f aca="false">IF(B218&lt;=7,1,2)</f>
        <v>1</v>
      </c>
      <c r="D218" s="15"/>
      <c r="E218" s="15"/>
      <c r="F218" s="15"/>
      <c r="G218" s="15"/>
      <c r="H218" s="15"/>
      <c r="I218" s="15"/>
      <c r="J218" s="15"/>
      <c r="K218" s="16"/>
      <c r="L218" s="16"/>
      <c r="M218" s="15"/>
      <c r="N218" s="14" t="str">
        <f aca="false">IF(OR(E218="",F218="",G218=""),"",10*(E218-1)+10*(G218-1)+10*(2-MIN(F218,2)))</f>
        <v/>
      </c>
      <c r="O218" s="14" t="n">
        <f aca="false">IF(AND(N218&lt;&gt;"",I218&lt;&gt;""),1,0)</f>
        <v>0</v>
      </c>
      <c r="P218" s="14" t="str">
        <f aca="false">IF(N218="","",IF(N218&lt;Ngưỡng!$B$4,1,0))</f>
        <v/>
      </c>
      <c r="Q218" s="14" t="str">
        <f aca="false">IF(I218="","",IF(I218&gt;=Ngưỡng!$B$5,1,0))</f>
        <v/>
      </c>
      <c r="R218" s="14" t="str">
        <f aca="false">IF(H218="","",IF(H218&lt;&gt;"Yên",1,0))</f>
        <v/>
      </c>
      <c r="S218" s="14" t="str">
        <f aca="false">IF(K218="","",IF(K218&gt;Ngưỡng!$B$6,1,0))</f>
        <v/>
      </c>
      <c r="T218" s="14" t="str">
        <f aca="false">IF(N218="","",IF(N218&gt;=Ngưỡng!$B$3,1,0))</f>
        <v/>
      </c>
      <c r="U218" s="14" t="n">
        <f aca="false">IF(I218=5,U217+1,0)</f>
        <v>0</v>
      </c>
      <c r="V218" s="14" t="n">
        <f aca="false">IF(AND(F218&lt;&gt;"",F218&gt;=2),V217+1,0)</f>
        <v>0</v>
      </c>
      <c r="W218" s="14" t="n">
        <f aca="false">IF(O218=0,W217+1,0)</f>
        <v>7</v>
      </c>
      <c r="X218" s="14" t="str">
        <f aca="false">IF(OR(E218="",F218=""),"",ROUND((10*(E218-1)+10*(2-MIN(F218,2)))/60*100,0))</f>
        <v/>
      </c>
    </row>
    <row r="219" customFormat="false" ht="15" hidden="false" customHeight="false" outlineLevel="0" collapsed="false">
      <c r="A219" s="4" t="s">
        <v>96</v>
      </c>
      <c r="B219" s="4" t="n">
        <v>8</v>
      </c>
      <c r="C219" s="4" t="n">
        <f aca="false">IF(B219&lt;=7,1,2)</f>
        <v>2</v>
      </c>
      <c r="D219" s="15"/>
      <c r="E219" s="15"/>
      <c r="F219" s="15"/>
      <c r="G219" s="15"/>
      <c r="H219" s="15"/>
      <c r="I219" s="15"/>
      <c r="J219" s="15"/>
      <c r="K219" s="16"/>
      <c r="L219" s="16"/>
      <c r="M219" s="15"/>
      <c r="N219" s="14" t="str">
        <f aca="false">IF(OR(E219="",F219="",G219=""),"",10*(E219-1)+10*(G219-1)+10*(2-MIN(F219,2)))</f>
        <v/>
      </c>
      <c r="O219" s="14" t="n">
        <f aca="false">IF(AND(N219&lt;&gt;"",I219&lt;&gt;""),1,0)</f>
        <v>0</v>
      </c>
      <c r="P219" s="14" t="str">
        <f aca="false">IF(N219="","",IF(N219&lt;Ngưỡng!$B$4,1,0))</f>
        <v/>
      </c>
      <c r="Q219" s="14" t="str">
        <f aca="false">IF(I219="","",IF(I219&gt;=Ngưỡng!$B$5,1,0))</f>
        <v/>
      </c>
      <c r="R219" s="14" t="str">
        <f aca="false">IF(H219="","",IF(H219&lt;&gt;"Yên",1,0))</f>
        <v/>
      </c>
      <c r="S219" s="14" t="str">
        <f aca="false">IF(K219="","",IF(K219&gt;Ngưỡng!$B$6,1,0))</f>
        <v/>
      </c>
      <c r="T219" s="14" t="str">
        <f aca="false">IF(N219="","",IF(N219&gt;=Ngưỡng!$B$3,1,0))</f>
        <v/>
      </c>
      <c r="U219" s="14" t="n">
        <f aca="false">IF(I219=5,U218+1,0)</f>
        <v>0</v>
      </c>
      <c r="V219" s="14" t="n">
        <f aca="false">IF(AND(F219&lt;&gt;"",F219&gt;=2),V218+1,0)</f>
        <v>0</v>
      </c>
      <c r="W219" s="14" t="n">
        <f aca="false">IF(O219=0,W218+1,0)</f>
        <v>8</v>
      </c>
      <c r="X219" s="14" t="str">
        <f aca="false">IF(OR(E219="",F219=""),"",ROUND((10*(E219-1)+10*(2-MIN(F219,2)))/60*100,0))</f>
        <v/>
      </c>
    </row>
    <row r="220" customFormat="false" ht="15" hidden="false" customHeight="false" outlineLevel="0" collapsed="false">
      <c r="A220" s="4" t="s">
        <v>96</v>
      </c>
      <c r="B220" s="4" t="n">
        <v>9</v>
      </c>
      <c r="C220" s="4" t="n">
        <f aca="false">IF(B220&lt;=7,1,2)</f>
        <v>2</v>
      </c>
      <c r="D220" s="15"/>
      <c r="E220" s="15"/>
      <c r="F220" s="15"/>
      <c r="G220" s="15"/>
      <c r="H220" s="15"/>
      <c r="I220" s="15"/>
      <c r="J220" s="15"/>
      <c r="K220" s="16"/>
      <c r="L220" s="16"/>
      <c r="M220" s="15"/>
      <c r="N220" s="14" t="str">
        <f aca="false">IF(OR(E220="",F220="",G220=""),"",10*(E220-1)+10*(G220-1)+10*(2-MIN(F220,2)))</f>
        <v/>
      </c>
      <c r="O220" s="14" t="n">
        <f aca="false">IF(AND(N220&lt;&gt;"",I220&lt;&gt;""),1,0)</f>
        <v>0</v>
      </c>
      <c r="P220" s="14" t="str">
        <f aca="false">IF(N220="","",IF(N220&lt;Ngưỡng!$B$4,1,0))</f>
        <v/>
      </c>
      <c r="Q220" s="14" t="str">
        <f aca="false">IF(I220="","",IF(I220&gt;=Ngưỡng!$B$5,1,0))</f>
        <v/>
      </c>
      <c r="R220" s="14" t="str">
        <f aca="false">IF(H220="","",IF(H220&lt;&gt;"Yên",1,0))</f>
        <v/>
      </c>
      <c r="S220" s="14" t="str">
        <f aca="false">IF(K220="","",IF(K220&gt;Ngưỡng!$B$6,1,0))</f>
        <v/>
      </c>
      <c r="T220" s="14" t="str">
        <f aca="false">IF(N220="","",IF(N220&gt;=Ngưỡng!$B$3,1,0))</f>
        <v/>
      </c>
      <c r="U220" s="14" t="n">
        <f aca="false">IF(I220=5,U219+1,0)</f>
        <v>0</v>
      </c>
      <c r="V220" s="14" t="n">
        <f aca="false">IF(AND(F220&lt;&gt;"",F220&gt;=2),V219+1,0)</f>
        <v>0</v>
      </c>
      <c r="W220" s="14" t="n">
        <f aca="false">IF(O220=0,W219+1,0)</f>
        <v>9</v>
      </c>
      <c r="X220" s="14" t="str">
        <f aca="false">IF(OR(E220="",F220=""),"",ROUND((10*(E220-1)+10*(2-MIN(F220,2)))/60*100,0))</f>
        <v/>
      </c>
    </row>
    <row r="221" customFormat="false" ht="15" hidden="false" customHeight="false" outlineLevel="0" collapsed="false">
      <c r="A221" s="4" t="s">
        <v>96</v>
      </c>
      <c r="B221" s="4" t="n">
        <v>10</v>
      </c>
      <c r="C221" s="4" t="n">
        <f aca="false">IF(B221&lt;=7,1,2)</f>
        <v>2</v>
      </c>
      <c r="D221" s="15"/>
      <c r="E221" s="15"/>
      <c r="F221" s="15"/>
      <c r="G221" s="15"/>
      <c r="H221" s="15"/>
      <c r="I221" s="15"/>
      <c r="J221" s="15"/>
      <c r="K221" s="16"/>
      <c r="L221" s="16"/>
      <c r="M221" s="15"/>
      <c r="N221" s="14" t="str">
        <f aca="false">IF(OR(E221="",F221="",G221=""),"",10*(E221-1)+10*(G221-1)+10*(2-MIN(F221,2)))</f>
        <v/>
      </c>
      <c r="O221" s="14" t="n">
        <f aca="false">IF(AND(N221&lt;&gt;"",I221&lt;&gt;""),1,0)</f>
        <v>0</v>
      </c>
      <c r="P221" s="14" t="str">
        <f aca="false">IF(N221="","",IF(N221&lt;Ngưỡng!$B$4,1,0))</f>
        <v/>
      </c>
      <c r="Q221" s="14" t="str">
        <f aca="false">IF(I221="","",IF(I221&gt;=Ngưỡng!$B$5,1,0))</f>
        <v/>
      </c>
      <c r="R221" s="14" t="str">
        <f aca="false">IF(H221="","",IF(H221&lt;&gt;"Yên",1,0))</f>
        <v/>
      </c>
      <c r="S221" s="14" t="str">
        <f aca="false">IF(K221="","",IF(K221&gt;Ngưỡng!$B$6,1,0))</f>
        <v/>
      </c>
      <c r="T221" s="14" t="str">
        <f aca="false">IF(N221="","",IF(N221&gt;=Ngưỡng!$B$3,1,0))</f>
        <v/>
      </c>
      <c r="U221" s="14" t="n">
        <f aca="false">IF(I221=5,U220+1,0)</f>
        <v>0</v>
      </c>
      <c r="V221" s="14" t="n">
        <f aca="false">IF(AND(F221&lt;&gt;"",F221&gt;=2),V220+1,0)</f>
        <v>0</v>
      </c>
      <c r="W221" s="14" t="n">
        <f aca="false">IF(O221=0,W220+1,0)</f>
        <v>10</v>
      </c>
      <c r="X221" s="14" t="str">
        <f aca="false">IF(OR(E221="",F221=""),"",ROUND((10*(E221-1)+10*(2-MIN(F221,2)))/60*100,0))</f>
        <v/>
      </c>
    </row>
    <row r="222" customFormat="false" ht="15" hidden="false" customHeight="false" outlineLevel="0" collapsed="false">
      <c r="A222" s="4" t="s">
        <v>96</v>
      </c>
      <c r="B222" s="4" t="n">
        <v>11</v>
      </c>
      <c r="C222" s="4" t="n">
        <f aca="false">IF(B222&lt;=7,1,2)</f>
        <v>2</v>
      </c>
      <c r="D222" s="15"/>
      <c r="E222" s="15"/>
      <c r="F222" s="15"/>
      <c r="G222" s="15"/>
      <c r="H222" s="15"/>
      <c r="I222" s="15"/>
      <c r="J222" s="15"/>
      <c r="K222" s="16"/>
      <c r="L222" s="16"/>
      <c r="M222" s="15"/>
      <c r="N222" s="14" t="str">
        <f aca="false">IF(OR(E222="",F222="",G222=""),"",10*(E222-1)+10*(G222-1)+10*(2-MIN(F222,2)))</f>
        <v/>
      </c>
      <c r="O222" s="14" t="n">
        <f aca="false">IF(AND(N222&lt;&gt;"",I222&lt;&gt;""),1,0)</f>
        <v>0</v>
      </c>
      <c r="P222" s="14" t="str">
        <f aca="false">IF(N222="","",IF(N222&lt;Ngưỡng!$B$4,1,0))</f>
        <v/>
      </c>
      <c r="Q222" s="14" t="str">
        <f aca="false">IF(I222="","",IF(I222&gt;=Ngưỡng!$B$5,1,0))</f>
        <v/>
      </c>
      <c r="R222" s="14" t="str">
        <f aca="false">IF(H222="","",IF(H222&lt;&gt;"Yên",1,0))</f>
        <v/>
      </c>
      <c r="S222" s="14" t="str">
        <f aca="false">IF(K222="","",IF(K222&gt;Ngưỡng!$B$6,1,0))</f>
        <v/>
      </c>
      <c r="T222" s="14" t="str">
        <f aca="false">IF(N222="","",IF(N222&gt;=Ngưỡng!$B$3,1,0))</f>
        <v/>
      </c>
      <c r="U222" s="14" t="n">
        <f aca="false">IF(I222=5,U221+1,0)</f>
        <v>0</v>
      </c>
      <c r="V222" s="14" t="n">
        <f aca="false">IF(AND(F222&lt;&gt;"",F222&gt;=2),V221+1,0)</f>
        <v>0</v>
      </c>
      <c r="W222" s="14" t="n">
        <f aca="false">IF(O222=0,W221+1,0)</f>
        <v>11</v>
      </c>
      <c r="X222" s="14" t="str">
        <f aca="false">IF(OR(E222="",F222=""),"",ROUND((10*(E222-1)+10*(2-MIN(F222,2)))/60*100,0))</f>
        <v/>
      </c>
    </row>
    <row r="223" customFormat="false" ht="15" hidden="false" customHeight="false" outlineLevel="0" collapsed="false">
      <c r="A223" s="4" t="s">
        <v>96</v>
      </c>
      <c r="B223" s="4" t="n">
        <v>12</v>
      </c>
      <c r="C223" s="4" t="n">
        <f aca="false">IF(B223&lt;=7,1,2)</f>
        <v>2</v>
      </c>
      <c r="D223" s="15"/>
      <c r="E223" s="15"/>
      <c r="F223" s="15"/>
      <c r="G223" s="15"/>
      <c r="H223" s="15"/>
      <c r="I223" s="15"/>
      <c r="J223" s="15"/>
      <c r="K223" s="16"/>
      <c r="L223" s="16"/>
      <c r="M223" s="15"/>
      <c r="N223" s="14" t="str">
        <f aca="false">IF(OR(E223="",F223="",G223=""),"",10*(E223-1)+10*(G223-1)+10*(2-MIN(F223,2)))</f>
        <v/>
      </c>
      <c r="O223" s="14" t="n">
        <f aca="false">IF(AND(N223&lt;&gt;"",I223&lt;&gt;""),1,0)</f>
        <v>0</v>
      </c>
      <c r="P223" s="14" t="str">
        <f aca="false">IF(N223="","",IF(N223&lt;Ngưỡng!$B$4,1,0))</f>
        <v/>
      </c>
      <c r="Q223" s="14" t="str">
        <f aca="false">IF(I223="","",IF(I223&gt;=Ngưỡng!$B$5,1,0))</f>
        <v/>
      </c>
      <c r="R223" s="14" t="str">
        <f aca="false">IF(H223="","",IF(H223&lt;&gt;"Yên",1,0))</f>
        <v/>
      </c>
      <c r="S223" s="14" t="str">
        <f aca="false">IF(K223="","",IF(K223&gt;Ngưỡng!$B$6,1,0))</f>
        <v/>
      </c>
      <c r="T223" s="14" t="str">
        <f aca="false">IF(N223="","",IF(N223&gt;=Ngưỡng!$B$3,1,0))</f>
        <v/>
      </c>
      <c r="U223" s="14" t="n">
        <f aca="false">IF(I223=5,U222+1,0)</f>
        <v>0</v>
      </c>
      <c r="V223" s="14" t="n">
        <f aca="false">IF(AND(F223&lt;&gt;"",F223&gt;=2),V222+1,0)</f>
        <v>0</v>
      </c>
      <c r="W223" s="14" t="n">
        <f aca="false">IF(O223=0,W222+1,0)</f>
        <v>12</v>
      </c>
      <c r="X223" s="14" t="str">
        <f aca="false">IF(OR(E223="",F223=""),"",ROUND((10*(E223-1)+10*(2-MIN(F223,2)))/60*100,0))</f>
        <v/>
      </c>
    </row>
    <row r="224" customFormat="false" ht="15" hidden="false" customHeight="false" outlineLevel="0" collapsed="false">
      <c r="A224" s="4" t="s">
        <v>96</v>
      </c>
      <c r="B224" s="4" t="n">
        <v>13</v>
      </c>
      <c r="C224" s="4" t="n">
        <f aca="false">IF(B224&lt;=7,1,2)</f>
        <v>2</v>
      </c>
      <c r="D224" s="15"/>
      <c r="E224" s="15"/>
      <c r="F224" s="15"/>
      <c r="G224" s="15"/>
      <c r="H224" s="15"/>
      <c r="I224" s="15"/>
      <c r="J224" s="15"/>
      <c r="K224" s="16"/>
      <c r="L224" s="16"/>
      <c r="M224" s="15"/>
      <c r="N224" s="14" t="str">
        <f aca="false">IF(OR(E224="",F224="",G224=""),"",10*(E224-1)+10*(G224-1)+10*(2-MIN(F224,2)))</f>
        <v/>
      </c>
      <c r="O224" s="14" t="n">
        <f aca="false">IF(AND(N224&lt;&gt;"",I224&lt;&gt;""),1,0)</f>
        <v>0</v>
      </c>
      <c r="P224" s="14" t="str">
        <f aca="false">IF(N224="","",IF(N224&lt;Ngưỡng!$B$4,1,0))</f>
        <v/>
      </c>
      <c r="Q224" s="14" t="str">
        <f aca="false">IF(I224="","",IF(I224&gt;=Ngưỡng!$B$5,1,0))</f>
        <v/>
      </c>
      <c r="R224" s="14" t="str">
        <f aca="false">IF(H224="","",IF(H224&lt;&gt;"Yên",1,0))</f>
        <v/>
      </c>
      <c r="S224" s="14" t="str">
        <f aca="false">IF(K224="","",IF(K224&gt;Ngưỡng!$B$6,1,0))</f>
        <v/>
      </c>
      <c r="T224" s="14" t="str">
        <f aca="false">IF(N224="","",IF(N224&gt;=Ngưỡng!$B$3,1,0))</f>
        <v/>
      </c>
      <c r="U224" s="14" t="n">
        <f aca="false">IF(I224=5,U223+1,0)</f>
        <v>0</v>
      </c>
      <c r="V224" s="14" t="n">
        <f aca="false">IF(AND(F224&lt;&gt;"",F224&gt;=2),V223+1,0)</f>
        <v>0</v>
      </c>
      <c r="W224" s="14" t="n">
        <f aca="false">IF(O224=0,W223+1,0)</f>
        <v>13</v>
      </c>
      <c r="X224" s="14" t="str">
        <f aca="false">IF(OR(E224="",F224=""),"",ROUND((10*(E224-1)+10*(2-MIN(F224,2)))/60*100,0))</f>
        <v/>
      </c>
    </row>
    <row r="225" customFormat="false" ht="15" hidden="false" customHeight="false" outlineLevel="0" collapsed="false">
      <c r="A225" s="4" t="s">
        <v>96</v>
      </c>
      <c r="B225" s="4" t="n">
        <v>14</v>
      </c>
      <c r="C225" s="4" t="n">
        <f aca="false">IF(B225&lt;=7,1,2)</f>
        <v>2</v>
      </c>
      <c r="D225" s="15"/>
      <c r="E225" s="15"/>
      <c r="F225" s="15"/>
      <c r="G225" s="15"/>
      <c r="H225" s="15"/>
      <c r="I225" s="15"/>
      <c r="J225" s="15"/>
      <c r="K225" s="16"/>
      <c r="L225" s="16"/>
      <c r="M225" s="15"/>
      <c r="N225" s="14" t="str">
        <f aca="false">IF(OR(E225="",F225="",G225=""),"",10*(E225-1)+10*(G225-1)+10*(2-MIN(F225,2)))</f>
        <v/>
      </c>
      <c r="O225" s="14" t="n">
        <f aca="false">IF(AND(N225&lt;&gt;"",I225&lt;&gt;""),1,0)</f>
        <v>0</v>
      </c>
      <c r="P225" s="14" t="str">
        <f aca="false">IF(N225="","",IF(N225&lt;Ngưỡng!$B$4,1,0))</f>
        <v/>
      </c>
      <c r="Q225" s="14" t="str">
        <f aca="false">IF(I225="","",IF(I225&gt;=Ngưỡng!$B$5,1,0))</f>
        <v/>
      </c>
      <c r="R225" s="14" t="str">
        <f aca="false">IF(H225="","",IF(H225&lt;&gt;"Yên",1,0))</f>
        <v/>
      </c>
      <c r="S225" s="14" t="str">
        <f aca="false">IF(K225="","",IF(K225&gt;Ngưỡng!$B$6,1,0))</f>
        <v/>
      </c>
      <c r="T225" s="14" t="str">
        <f aca="false">IF(N225="","",IF(N225&gt;=Ngưỡng!$B$3,1,0))</f>
        <v/>
      </c>
      <c r="U225" s="14" t="n">
        <f aca="false">IF(I225=5,U224+1,0)</f>
        <v>0</v>
      </c>
      <c r="V225" s="14" t="n">
        <f aca="false">IF(AND(F225&lt;&gt;"",F225&gt;=2),V224+1,0)</f>
        <v>0</v>
      </c>
      <c r="W225" s="14" t="n">
        <f aca="false">IF(O225=0,W224+1,0)</f>
        <v>14</v>
      </c>
      <c r="X225" s="14" t="str">
        <f aca="false">IF(OR(E225="",F225=""),"",ROUND((10*(E225-1)+10*(2-MIN(F225,2)))/60*100,0))</f>
        <v/>
      </c>
    </row>
    <row r="226" customFormat="false" ht="15" hidden="false" customHeight="false" outlineLevel="0" collapsed="false">
      <c r="A226" s="4" t="s">
        <v>97</v>
      </c>
      <c r="B226" s="4" t="n">
        <v>1</v>
      </c>
      <c r="C226" s="4" t="n">
        <f aca="false">IF(B226&lt;=7,1,2)</f>
        <v>1</v>
      </c>
      <c r="D226" s="15"/>
      <c r="E226" s="15"/>
      <c r="F226" s="15"/>
      <c r="G226" s="15"/>
      <c r="H226" s="15"/>
      <c r="I226" s="15"/>
      <c r="J226" s="15"/>
      <c r="K226" s="16"/>
      <c r="L226" s="16"/>
      <c r="M226" s="15"/>
      <c r="N226" s="14" t="str">
        <f aca="false">IF(OR(E226="",F226="",G226=""),"",10*(E226-1)+10*(G226-1)+10*(2-MIN(F226,2)))</f>
        <v/>
      </c>
      <c r="O226" s="14" t="n">
        <f aca="false">IF(AND(N226&lt;&gt;"",I226&lt;&gt;""),1,0)</f>
        <v>0</v>
      </c>
      <c r="P226" s="14" t="str">
        <f aca="false">IF(N226="","",IF(N226&lt;Ngưỡng!$B$4,1,0))</f>
        <v/>
      </c>
      <c r="Q226" s="14" t="str">
        <f aca="false">IF(I226="","",IF(I226&gt;=Ngưỡng!$B$5,1,0))</f>
        <v/>
      </c>
      <c r="R226" s="14" t="str">
        <f aca="false">IF(H226="","",IF(H226&lt;&gt;"Yên",1,0))</f>
        <v/>
      </c>
      <c r="S226" s="14" t="str">
        <f aca="false">IF(K226="","",IF(K226&gt;Ngưỡng!$B$6,1,0))</f>
        <v/>
      </c>
      <c r="T226" s="14" t="str">
        <f aca="false">IF(N226="","",IF(N226&gt;=Ngưỡng!$B$3,1,0))</f>
        <v/>
      </c>
      <c r="U226" s="14" t="n">
        <f aca="false">IF(I226=5,0+1,0)</f>
        <v>0</v>
      </c>
      <c r="V226" s="14" t="n">
        <f aca="false">IF(AND(F226&lt;&gt;"",F226&gt;=2),0+1,0)</f>
        <v>0</v>
      </c>
      <c r="W226" s="14" t="n">
        <f aca="false">IF(O226=0,0+1,0)</f>
        <v>1</v>
      </c>
      <c r="X226" s="14" t="str">
        <f aca="false">IF(OR(E226="",F226=""),"",ROUND((10*(E226-1)+10*(2-MIN(F226,2)))/60*100,0))</f>
        <v/>
      </c>
    </row>
    <row r="227" customFormat="false" ht="15" hidden="false" customHeight="false" outlineLevel="0" collapsed="false">
      <c r="A227" s="4" t="s">
        <v>97</v>
      </c>
      <c r="B227" s="4" t="n">
        <v>2</v>
      </c>
      <c r="C227" s="4" t="n">
        <f aca="false">IF(B227&lt;=7,1,2)</f>
        <v>1</v>
      </c>
      <c r="D227" s="15"/>
      <c r="E227" s="15"/>
      <c r="F227" s="15"/>
      <c r="G227" s="15"/>
      <c r="H227" s="15"/>
      <c r="I227" s="15"/>
      <c r="J227" s="15"/>
      <c r="K227" s="16"/>
      <c r="L227" s="16"/>
      <c r="M227" s="15"/>
      <c r="N227" s="14" t="str">
        <f aca="false">IF(OR(E227="",F227="",G227=""),"",10*(E227-1)+10*(G227-1)+10*(2-MIN(F227,2)))</f>
        <v/>
      </c>
      <c r="O227" s="14" t="n">
        <f aca="false">IF(AND(N227&lt;&gt;"",I227&lt;&gt;""),1,0)</f>
        <v>0</v>
      </c>
      <c r="P227" s="14" t="str">
        <f aca="false">IF(N227="","",IF(N227&lt;Ngưỡng!$B$4,1,0))</f>
        <v/>
      </c>
      <c r="Q227" s="14" t="str">
        <f aca="false">IF(I227="","",IF(I227&gt;=Ngưỡng!$B$5,1,0))</f>
        <v/>
      </c>
      <c r="R227" s="14" t="str">
        <f aca="false">IF(H227="","",IF(H227&lt;&gt;"Yên",1,0))</f>
        <v/>
      </c>
      <c r="S227" s="14" t="str">
        <f aca="false">IF(K227="","",IF(K227&gt;Ngưỡng!$B$6,1,0))</f>
        <v/>
      </c>
      <c r="T227" s="14" t="str">
        <f aca="false">IF(N227="","",IF(N227&gt;=Ngưỡng!$B$3,1,0))</f>
        <v/>
      </c>
      <c r="U227" s="14" t="n">
        <f aca="false">IF(I227=5,U226+1,0)</f>
        <v>0</v>
      </c>
      <c r="V227" s="14" t="n">
        <f aca="false">IF(AND(F227&lt;&gt;"",F227&gt;=2),V226+1,0)</f>
        <v>0</v>
      </c>
      <c r="W227" s="14" t="n">
        <f aca="false">IF(O227=0,W226+1,0)</f>
        <v>2</v>
      </c>
      <c r="X227" s="14" t="str">
        <f aca="false">IF(OR(E227="",F227=""),"",ROUND((10*(E227-1)+10*(2-MIN(F227,2)))/60*100,0))</f>
        <v/>
      </c>
    </row>
    <row r="228" customFormat="false" ht="15" hidden="false" customHeight="false" outlineLevel="0" collapsed="false">
      <c r="A228" s="4" t="s">
        <v>97</v>
      </c>
      <c r="B228" s="4" t="n">
        <v>3</v>
      </c>
      <c r="C228" s="4" t="n">
        <f aca="false">IF(B228&lt;=7,1,2)</f>
        <v>1</v>
      </c>
      <c r="D228" s="15"/>
      <c r="E228" s="15"/>
      <c r="F228" s="15"/>
      <c r="G228" s="15"/>
      <c r="H228" s="15"/>
      <c r="I228" s="15"/>
      <c r="J228" s="15"/>
      <c r="K228" s="16"/>
      <c r="L228" s="16"/>
      <c r="M228" s="15"/>
      <c r="N228" s="14" t="str">
        <f aca="false">IF(OR(E228="",F228="",G228=""),"",10*(E228-1)+10*(G228-1)+10*(2-MIN(F228,2)))</f>
        <v/>
      </c>
      <c r="O228" s="14" t="n">
        <f aca="false">IF(AND(N228&lt;&gt;"",I228&lt;&gt;""),1,0)</f>
        <v>0</v>
      </c>
      <c r="P228" s="14" t="str">
        <f aca="false">IF(N228="","",IF(N228&lt;Ngưỡng!$B$4,1,0))</f>
        <v/>
      </c>
      <c r="Q228" s="14" t="str">
        <f aca="false">IF(I228="","",IF(I228&gt;=Ngưỡng!$B$5,1,0))</f>
        <v/>
      </c>
      <c r="R228" s="14" t="str">
        <f aca="false">IF(H228="","",IF(H228&lt;&gt;"Yên",1,0))</f>
        <v/>
      </c>
      <c r="S228" s="14" t="str">
        <f aca="false">IF(K228="","",IF(K228&gt;Ngưỡng!$B$6,1,0))</f>
        <v/>
      </c>
      <c r="T228" s="14" t="str">
        <f aca="false">IF(N228="","",IF(N228&gt;=Ngưỡng!$B$3,1,0))</f>
        <v/>
      </c>
      <c r="U228" s="14" t="n">
        <f aca="false">IF(I228=5,U227+1,0)</f>
        <v>0</v>
      </c>
      <c r="V228" s="14" t="n">
        <f aca="false">IF(AND(F228&lt;&gt;"",F228&gt;=2),V227+1,0)</f>
        <v>0</v>
      </c>
      <c r="W228" s="14" t="n">
        <f aca="false">IF(O228=0,W227+1,0)</f>
        <v>3</v>
      </c>
      <c r="X228" s="14" t="str">
        <f aca="false">IF(OR(E228="",F228=""),"",ROUND((10*(E228-1)+10*(2-MIN(F228,2)))/60*100,0))</f>
        <v/>
      </c>
    </row>
    <row r="229" customFormat="false" ht="15" hidden="false" customHeight="false" outlineLevel="0" collapsed="false">
      <c r="A229" s="4" t="s">
        <v>97</v>
      </c>
      <c r="B229" s="4" t="n">
        <v>4</v>
      </c>
      <c r="C229" s="4" t="n">
        <f aca="false">IF(B229&lt;=7,1,2)</f>
        <v>1</v>
      </c>
      <c r="D229" s="15"/>
      <c r="E229" s="15"/>
      <c r="F229" s="15"/>
      <c r="G229" s="15"/>
      <c r="H229" s="15"/>
      <c r="I229" s="15"/>
      <c r="J229" s="15"/>
      <c r="K229" s="16"/>
      <c r="L229" s="16"/>
      <c r="M229" s="15"/>
      <c r="N229" s="14" t="str">
        <f aca="false">IF(OR(E229="",F229="",G229=""),"",10*(E229-1)+10*(G229-1)+10*(2-MIN(F229,2)))</f>
        <v/>
      </c>
      <c r="O229" s="14" t="n">
        <f aca="false">IF(AND(N229&lt;&gt;"",I229&lt;&gt;""),1,0)</f>
        <v>0</v>
      </c>
      <c r="P229" s="14" t="str">
        <f aca="false">IF(N229="","",IF(N229&lt;Ngưỡng!$B$4,1,0))</f>
        <v/>
      </c>
      <c r="Q229" s="14" t="str">
        <f aca="false">IF(I229="","",IF(I229&gt;=Ngưỡng!$B$5,1,0))</f>
        <v/>
      </c>
      <c r="R229" s="14" t="str">
        <f aca="false">IF(H229="","",IF(H229&lt;&gt;"Yên",1,0))</f>
        <v/>
      </c>
      <c r="S229" s="14" t="str">
        <f aca="false">IF(K229="","",IF(K229&gt;Ngưỡng!$B$6,1,0))</f>
        <v/>
      </c>
      <c r="T229" s="14" t="str">
        <f aca="false">IF(N229="","",IF(N229&gt;=Ngưỡng!$B$3,1,0))</f>
        <v/>
      </c>
      <c r="U229" s="14" t="n">
        <f aca="false">IF(I229=5,U228+1,0)</f>
        <v>0</v>
      </c>
      <c r="V229" s="14" t="n">
        <f aca="false">IF(AND(F229&lt;&gt;"",F229&gt;=2),V228+1,0)</f>
        <v>0</v>
      </c>
      <c r="W229" s="14" t="n">
        <f aca="false">IF(O229=0,W228+1,0)</f>
        <v>4</v>
      </c>
      <c r="X229" s="14" t="str">
        <f aca="false">IF(OR(E229="",F229=""),"",ROUND((10*(E229-1)+10*(2-MIN(F229,2)))/60*100,0))</f>
        <v/>
      </c>
    </row>
    <row r="230" customFormat="false" ht="15" hidden="false" customHeight="false" outlineLevel="0" collapsed="false">
      <c r="A230" s="4" t="s">
        <v>97</v>
      </c>
      <c r="B230" s="4" t="n">
        <v>5</v>
      </c>
      <c r="C230" s="4" t="n">
        <f aca="false">IF(B230&lt;=7,1,2)</f>
        <v>1</v>
      </c>
      <c r="D230" s="15"/>
      <c r="E230" s="15"/>
      <c r="F230" s="15"/>
      <c r="G230" s="15"/>
      <c r="H230" s="15"/>
      <c r="I230" s="15"/>
      <c r="J230" s="15"/>
      <c r="K230" s="16"/>
      <c r="L230" s="16"/>
      <c r="M230" s="15"/>
      <c r="N230" s="14" t="str">
        <f aca="false">IF(OR(E230="",F230="",G230=""),"",10*(E230-1)+10*(G230-1)+10*(2-MIN(F230,2)))</f>
        <v/>
      </c>
      <c r="O230" s="14" t="n">
        <f aca="false">IF(AND(N230&lt;&gt;"",I230&lt;&gt;""),1,0)</f>
        <v>0</v>
      </c>
      <c r="P230" s="14" t="str">
        <f aca="false">IF(N230="","",IF(N230&lt;Ngưỡng!$B$4,1,0))</f>
        <v/>
      </c>
      <c r="Q230" s="14" t="str">
        <f aca="false">IF(I230="","",IF(I230&gt;=Ngưỡng!$B$5,1,0))</f>
        <v/>
      </c>
      <c r="R230" s="14" t="str">
        <f aca="false">IF(H230="","",IF(H230&lt;&gt;"Yên",1,0))</f>
        <v/>
      </c>
      <c r="S230" s="14" t="str">
        <f aca="false">IF(K230="","",IF(K230&gt;Ngưỡng!$B$6,1,0))</f>
        <v/>
      </c>
      <c r="T230" s="14" t="str">
        <f aca="false">IF(N230="","",IF(N230&gt;=Ngưỡng!$B$3,1,0))</f>
        <v/>
      </c>
      <c r="U230" s="14" t="n">
        <f aca="false">IF(I230=5,U229+1,0)</f>
        <v>0</v>
      </c>
      <c r="V230" s="14" t="n">
        <f aca="false">IF(AND(F230&lt;&gt;"",F230&gt;=2),V229+1,0)</f>
        <v>0</v>
      </c>
      <c r="W230" s="14" t="n">
        <f aca="false">IF(O230=0,W229+1,0)</f>
        <v>5</v>
      </c>
      <c r="X230" s="14" t="str">
        <f aca="false">IF(OR(E230="",F230=""),"",ROUND((10*(E230-1)+10*(2-MIN(F230,2)))/60*100,0))</f>
        <v/>
      </c>
    </row>
    <row r="231" customFormat="false" ht="15" hidden="false" customHeight="false" outlineLevel="0" collapsed="false">
      <c r="A231" s="4" t="s">
        <v>97</v>
      </c>
      <c r="B231" s="4" t="n">
        <v>6</v>
      </c>
      <c r="C231" s="4" t="n">
        <f aca="false">IF(B231&lt;=7,1,2)</f>
        <v>1</v>
      </c>
      <c r="D231" s="15"/>
      <c r="E231" s="15"/>
      <c r="F231" s="15"/>
      <c r="G231" s="15"/>
      <c r="H231" s="15"/>
      <c r="I231" s="15"/>
      <c r="J231" s="15"/>
      <c r="K231" s="16"/>
      <c r="L231" s="16"/>
      <c r="M231" s="15"/>
      <c r="N231" s="14" t="str">
        <f aca="false">IF(OR(E231="",F231="",G231=""),"",10*(E231-1)+10*(G231-1)+10*(2-MIN(F231,2)))</f>
        <v/>
      </c>
      <c r="O231" s="14" t="n">
        <f aca="false">IF(AND(N231&lt;&gt;"",I231&lt;&gt;""),1,0)</f>
        <v>0</v>
      </c>
      <c r="P231" s="14" t="str">
        <f aca="false">IF(N231="","",IF(N231&lt;Ngưỡng!$B$4,1,0))</f>
        <v/>
      </c>
      <c r="Q231" s="14" t="str">
        <f aca="false">IF(I231="","",IF(I231&gt;=Ngưỡng!$B$5,1,0))</f>
        <v/>
      </c>
      <c r="R231" s="14" t="str">
        <f aca="false">IF(H231="","",IF(H231&lt;&gt;"Yên",1,0))</f>
        <v/>
      </c>
      <c r="S231" s="14" t="str">
        <f aca="false">IF(K231="","",IF(K231&gt;Ngưỡng!$B$6,1,0))</f>
        <v/>
      </c>
      <c r="T231" s="14" t="str">
        <f aca="false">IF(N231="","",IF(N231&gt;=Ngưỡng!$B$3,1,0))</f>
        <v/>
      </c>
      <c r="U231" s="14" t="n">
        <f aca="false">IF(I231=5,U230+1,0)</f>
        <v>0</v>
      </c>
      <c r="V231" s="14" t="n">
        <f aca="false">IF(AND(F231&lt;&gt;"",F231&gt;=2),V230+1,0)</f>
        <v>0</v>
      </c>
      <c r="W231" s="14" t="n">
        <f aca="false">IF(O231=0,W230+1,0)</f>
        <v>6</v>
      </c>
      <c r="X231" s="14" t="str">
        <f aca="false">IF(OR(E231="",F231=""),"",ROUND((10*(E231-1)+10*(2-MIN(F231,2)))/60*100,0))</f>
        <v/>
      </c>
    </row>
    <row r="232" customFormat="false" ht="15" hidden="false" customHeight="false" outlineLevel="0" collapsed="false">
      <c r="A232" s="4" t="s">
        <v>97</v>
      </c>
      <c r="B232" s="4" t="n">
        <v>7</v>
      </c>
      <c r="C232" s="4" t="n">
        <f aca="false">IF(B232&lt;=7,1,2)</f>
        <v>1</v>
      </c>
      <c r="D232" s="15"/>
      <c r="E232" s="15"/>
      <c r="F232" s="15"/>
      <c r="G232" s="15"/>
      <c r="H232" s="15"/>
      <c r="I232" s="15"/>
      <c r="J232" s="15"/>
      <c r="K232" s="16"/>
      <c r="L232" s="16"/>
      <c r="M232" s="15"/>
      <c r="N232" s="14" t="str">
        <f aca="false">IF(OR(E232="",F232="",G232=""),"",10*(E232-1)+10*(G232-1)+10*(2-MIN(F232,2)))</f>
        <v/>
      </c>
      <c r="O232" s="14" t="n">
        <f aca="false">IF(AND(N232&lt;&gt;"",I232&lt;&gt;""),1,0)</f>
        <v>0</v>
      </c>
      <c r="P232" s="14" t="str">
        <f aca="false">IF(N232="","",IF(N232&lt;Ngưỡng!$B$4,1,0))</f>
        <v/>
      </c>
      <c r="Q232" s="14" t="str">
        <f aca="false">IF(I232="","",IF(I232&gt;=Ngưỡng!$B$5,1,0))</f>
        <v/>
      </c>
      <c r="R232" s="14" t="str">
        <f aca="false">IF(H232="","",IF(H232&lt;&gt;"Yên",1,0))</f>
        <v/>
      </c>
      <c r="S232" s="14" t="str">
        <f aca="false">IF(K232="","",IF(K232&gt;Ngưỡng!$B$6,1,0))</f>
        <v/>
      </c>
      <c r="T232" s="14" t="str">
        <f aca="false">IF(N232="","",IF(N232&gt;=Ngưỡng!$B$3,1,0))</f>
        <v/>
      </c>
      <c r="U232" s="14" t="n">
        <f aca="false">IF(I232=5,U231+1,0)</f>
        <v>0</v>
      </c>
      <c r="V232" s="14" t="n">
        <f aca="false">IF(AND(F232&lt;&gt;"",F232&gt;=2),V231+1,0)</f>
        <v>0</v>
      </c>
      <c r="W232" s="14" t="n">
        <f aca="false">IF(O232=0,W231+1,0)</f>
        <v>7</v>
      </c>
      <c r="X232" s="14" t="str">
        <f aca="false">IF(OR(E232="",F232=""),"",ROUND((10*(E232-1)+10*(2-MIN(F232,2)))/60*100,0))</f>
        <v/>
      </c>
    </row>
    <row r="233" customFormat="false" ht="15" hidden="false" customHeight="false" outlineLevel="0" collapsed="false">
      <c r="A233" s="4" t="s">
        <v>97</v>
      </c>
      <c r="B233" s="4" t="n">
        <v>8</v>
      </c>
      <c r="C233" s="4" t="n">
        <f aca="false">IF(B233&lt;=7,1,2)</f>
        <v>2</v>
      </c>
      <c r="D233" s="15"/>
      <c r="E233" s="15"/>
      <c r="F233" s="15"/>
      <c r="G233" s="15"/>
      <c r="H233" s="15"/>
      <c r="I233" s="15"/>
      <c r="J233" s="15"/>
      <c r="K233" s="16"/>
      <c r="L233" s="16"/>
      <c r="M233" s="15"/>
      <c r="N233" s="14" t="str">
        <f aca="false">IF(OR(E233="",F233="",G233=""),"",10*(E233-1)+10*(G233-1)+10*(2-MIN(F233,2)))</f>
        <v/>
      </c>
      <c r="O233" s="14" t="n">
        <f aca="false">IF(AND(N233&lt;&gt;"",I233&lt;&gt;""),1,0)</f>
        <v>0</v>
      </c>
      <c r="P233" s="14" t="str">
        <f aca="false">IF(N233="","",IF(N233&lt;Ngưỡng!$B$4,1,0))</f>
        <v/>
      </c>
      <c r="Q233" s="14" t="str">
        <f aca="false">IF(I233="","",IF(I233&gt;=Ngưỡng!$B$5,1,0))</f>
        <v/>
      </c>
      <c r="R233" s="14" t="str">
        <f aca="false">IF(H233="","",IF(H233&lt;&gt;"Yên",1,0))</f>
        <v/>
      </c>
      <c r="S233" s="14" t="str">
        <f aca="false">IF(K233="","",IF(K233&gt;Ngưỡng!$B$6,1,0))</f>
        <v/>
      </c>
      <c r="T233" s="14" t="str">
        <f aca="false">IF(N233="","",IF(N233&gt;=Ngưỡng!$B$3,1,0))</f>
        <v/>
      </c>
      <c r="U233" s="14" t="n">
        <f aca="false">IF(I233=5,U232+1,0)</f>
        <v>0</v>
      </c>
      <c r="V233" s="14" t="n">
        <f aca="false">IF(AND(F233&lt;&gt;"",F233&gt;=2),V232+1,0)</f>
        <v>0</v>
      </c>
      <c r="W233" s="14" t="n">
        <f aca="false">IF(O233=0,W232+1,0)</f>
        <v>8</v>
      </c>
      <c r="X233" s="14" t="str">
        <f aca="false">IF(OR(E233="",F233=""),"",ROUND((10*(E233-1)+10*(2-MIN(F233,2)))/60*100,0))</f>
        <v/>
      </c>
    </row>
    <row r="234" customFormat="false" ht="15" hidden="false" customHeight="false" outlineLevel="0" collapsed="false">
      <c r="A234" s="4" t="s">
        <v>97</v>
      </c>
      <c r="B234" s="4" t="n">
        <v>9</v>
      </c>
      <c r="C234" s="4" t="n">
        <f aca="false">IF(B234&lt;=7,1,2)</f>
        <v>2</v>
      </c>
      <c r="D234" s="15"/>
      <c r="E234" s="15"/>
      <c r="F234" s="15"/>
      <c r="G234" s="15"/>
      <c r="H234" s="15"/>
      <c r="I234" s="15"/>
      <c r="J234" s="15"/>
      <c r="K234" s="16"/>
      <c r="L234" s="16"/>
      <c r="M234" s="15"/>
      <c r="N234" s="14" t="str">
        <f aca="false">IF(OR(E234="",F234="",G234=""),"",10*(E234-1)+10*(G234-1)+10*(2-MIN(F234,2)))</f>
        <v/>
      </c>
      <c r="O234" s="14" t="n">
        <f aca="false">IF(AND(N234&lt;&gt;"",I234&lt;&gt;""),1,0)</f>
        <v>0</v>
      </c>
      <c r="P234" s="14" t="str">
        <f aca="false">IF(N234="","",IF(N234&lt;Ngưỡng!$B$4,1,0))</f>
        <v/>
      </c>
      <c r="Q234" s="14" t="str">
        <f aca="false">IF(I234="","",IF(I234&gt;=Ngưỡng!$B$5,1,0))</f>
        <v/>
      </c>
      <c r="R234" s="14" t="str">
        <f aca="false">IF(H234="","",IF(H234&lt;&gt;"Yên",1,0))</f>
        <v/>
      </c>
      <c r="S234" s="14" t="str">
        <f aca="false">IF(K234="","",IF(K234&gt;Ngưỡng!$B$6,1,0))</f>
        <v/>
      </c>
      <c r="T234" s="14" t="str">
        <f aca="false">IF(N234="","",IF(N234&gt;=Ngưỡng!$B$3,1,0))</f>
        <v/>
      </c>
      <c r="U234" s="14" t="n">
        <f aca="false">IF(I234=5,U233+1,0)</f>
        <v>0</v>
      </c>
      <c r="V234" s="14" t="n">
        <f aca="false">IF(AND(F234&lt;&gt;"",F234&gt;=2),V233+1,0)</f>
        <v>0</v>
      </c>
      <c r="W234" s="14" t="n">
        <f aca="false">IF(O234=0,W233+1,0)</f>
        <v>9</v>
      </c>
      <c r="X234" s="14" t="str">
        <f aca="false">IF(OR(E234="",F234=""),"",ROUND((10*(E234-1)+10*(2-MIN(F234,2)))/60*100,0))</f>
        <v/>
      </c>
    </row>
    <row r="235" customFormat="false" ht="15" hidden="false" customHeight="false" outlineLevel="0" collapsed="false">
      <c r="A235" s="4" t="s">
        <v>97</v>
      </c>
      <c r="B235" s="4" t="n">
        <v>10</v>
      </c>
      <c r="C235" s="4" t="n">
        <f aca="false">IF(B235&lt;=7,1,2)</f>
        <v>2</v>
      </c>
      <c r="D235" s="15"/>
      <c r="E235" s="15"/>
      <c r="F235" s="15"/>
      <c r="G235" s="15"/>
      <c r="H235" s="15"/>
      <c r="I235" s="15"/>
      <c r="J235" s="15"/>
      <c r="K235" s="16"/>
      <c r="L235" s="16"/>
      <c r="M235" s="15"/>
      <c r="N235" s="14" t="str">
        <f aca="false">IF(OR(E235="",F235="",G235=""),"",10*(E235-1)+10*(G235-1)+10*(2-MIN(F235,2)))</f>
        <v/>
      </c>
      <c r="O235" s="14" t="n">
        <f aca="false">IF(AND(N235&lt;&gt;"",I235&lt;&gt;""),1,0)</f>
        <v>0</v>
      </c>
      <c r="P235" s="14" t="str">
        <f aca="false">IF(N235="","",IF(N235&lt;Ngưỡng!$B$4,1,0))</f>
        <v/>
      </c>
      <c r="Q235" s="14" t="str">
        <f aca="false">IF(I235="","",IF(I235&gt;=Ngưỡng!$B$5,1,0))</f>
        <v/>
      </c>
      <c r="R235" s="14" t="str">
        <f aca="false">IF(H235="","",IF(H235&lt;&gt;"Yên",1,0))</f>
        <v/>
      </c>
      <c r="S235" s="14" t="str">
        <f aca="false">IF(K235="","",IF(K235&gt;Ngưỡng!$B$6,1,0))</f>
        <v/>
      </c>
      <c r="T235" s="14" t="str">
        <f aca="false">IF(N235="","",IF(N235&gt;=Ngưỡng!$B$3,1,0))</f>
        <v/>
      </c>
      <c r="U235" s="14" t="n">
        <f aca="false">IF(I235=5,U234+1,0)</f>
        <v>0</v>
      </c>
      <c r="V235" s="14" t="n">
        <f aca="false">IF(AND(F235&lt;&gt;"",F235&gt;=2),V234+1,0)</f>
        <v>0</v>
      </c>
      <c r="W235" s="14" t="n">
        <f aca="false">IF(O235=0,W234+1,0)</f>
        <v>10</v>
      </c>
      <c r="X235" s="14" t="str">
        <f aca="false">IF(OR(E235="",F235=""),"",ROUND((10*(E235-1)+10*(2-MIN(F235,2)))/60*100,0))</f>
        <v/>
      </c>
    </row>
    <row r="236" customFormat="false" ht="15" hidden="false" customHeight="false" outlineLevel="0" collapsed="false">
      <c r="A236" s="4" t="s">
        <v>97</v>
      </c>
      <c r="B236" s="4" t="n">
        <v>11</v>
      </c>
      <c r="C236" s="4" t="n">
        <f aca="false">IF(B236&lt;=7,1,2)</f>
        <v>2</v>
      </c>
      <c r="D236" s="15"/>
      <c r="E236" s="15"/>
      <c r="F236" s="15"/>
      <c r="G236" s="15"/>
      <c r="H236" s="15"/>
      <c r="I236" s="15"/>
      <c r="J236" s="15"/>
      <c r="K236" s="16"/>
      <c r="L236" s="16"/>
      <c r="M236" s="15"/>
      <c r="N236" s="14" t="str">
        <f aca="false">IF(OR(E236="",F236="",G236=""),"",10*(E236-1)+10*(G236-1)+10*(2-MIN(F236,2)))</f>
        <v/>
      </c>
      <c r="O236" s="14" t="n">
        <f aca="false">IF(AND(N236&lt;&gt;"",I236&lt;&gt;""),1,0)</f>
        <v>0</v>
      </c>
      <c r="P236" s="14" t="str">
        <f aca="false">IF(N236="","",IF(N236&lt;Ngưỡng!$B$4,1,0))</f>
        <v/>
      </c>
      <c r="Q236" s="14" t="str">
        <f aca="false">IF(I236="","",IF(I236&gt;=Ngưỡng!$B$5,1,0))</f>
        <v/>
      </c>
      <c r="R236" s="14" t="str">
        <f aca="false">IF(H236="","",IF(H236&lt;&gt;"Yên",1,0))</f>
        <v/>
      </c>
      <c r="S236" s="14" t="str">
        <f aca="false">IF(K236="","",IF(K236&gt;Ngưỡng!$B$6,1,0))</f>
        <v/>
      </c>
      <c r="T236" s="14" t="str">
        <f aca="false">IF(N236="","",IF(N236&gt;=Ngưỡng!$B$3,1,0))</f>
        <v/>
      </c>
      <c r="U236" s="14" t="n">
        <f aca="false">IF(I236=5,U235+1,0)</f>
        <v>0</v>
      </c>
      <c r="V236" s="14" t="n">
        <f aca="false">IF(AND(F236&lt;&gt;"",F236&gt;=2),V235+1,0)</f>
        <v>0</v>
      </c>
      <c r="W236" s="14" t="n">
        <f aca="false">IF(O236=0,W235+1,0)</f>
        <v>11</v>
      </c>
      <c r="X236" s="14" t="str">
        <f aca="false">IF(OR(E236="",F236=""),"",ROUND((10*(E236-1)+10*(2-MIN(F236,2)))/60*100,0))</f>
        <v/>
      </c>
    </row>
    <row r="237" customFormat="false" ht="15" hidden="false" customHeight="false" outlineLevel="0" collapsed="false">
      <c r="A237" s="4" t="s">
        <v>97</v>
      </c>
      <c r="B237" s="4" t="n">
        <v>12</v>
      </c>
      <c r="C237" s="4" t="n">
        <f aca="false">IF(B237&lt;=7,1,2)</f>
        <v>2</v>
      </c>
      <c r="D237" s="15"/>
      <c r="E237" s="15"/>
      <c r="F237" s="15"/>
      <c r="G237" s="15"/>
      <c r="H237" s="15"/>
      <c r="I237" s="15"/>
      <c r="J237" s="15"/>
      <c r="K237" s="16"/>
      <c r="L237" s="16"/>
      <c r="M237" s="15"/>
      <c r="N237" s="14" t="str">
        <f aca="false">IF(OR(E237="",F237="",G237=""),"",10*(E237-1)+10*(G237-1)+10*(2-MIN(F237,2)))</f>
        <v/>
      </c>
      <c r="O237" s="14" t="n">
        <f aca="false">IF(AND(N237&lt;&gt;"",I237&lt;&gt;""),1,0)</f>
        <v>0</v>
      </c>
      <c r="P237" s="14" t="str">
        <f aca="false">IF(N237="","",IF(N237&lt;Ngưỡng!$B$4,1,0))</f>
        <v/>
      </c>
      <c r="Q237" s="14" t="str">
        <f aca="false">IF(I237="","",IF(I237&gt;=Ngưỡng!$B$5,1,0))</f>
        <v/>
      </c>
      <c r="R237" s="14" t="str">
        <f aca="false">IF(H237="","",IF(H237&lt;&gt;"Yên",1,0))</f>
        <v/>
      </c>
      <c r="S237" s="14" t="str">
        <f aca="false">IF(K237="","",IF(K237&gt;Ngưỡng!$B$6,1,0))</f>
        <v/>
      </c>
      <c r="T237" s="14" t="str">
        <f aca="false">IF(N237="","",IF(N237&gt;=Ngưỡng!$B$3,1,0))</f>
        <v/>
      </c>
      <c r="U237" s="14" t="n">
        <f aca="false">IF(I237=5,U236+1,0)</f>
        <v>0</v>
      </c>
      <c r="V237" s="14" t="n">
        <f aca="false">IF(AND(F237&lt;&gt;"",F237&gt;=2),V236+1,0)</f>
        <v>0</v>
      </c>
      <c r="W237" s="14" t="n">
        <f aca="false">IF(O237=0,W236+1,0)</f>
        <v>12</v>
      </c>
      <c r="X237" s="14" t="str">
        <f aca="false">IF(OR(E237="",F237=""),"",ROUND((10*(E237-1)+10*(2-MIN(F237,2)))/60*100,0))</f>
        <v/>
      </c>
    </row>
    <row r="238" customFormat="false" ht="15" hidden="false" customHeight="false" outlineLevel="0" collapsed="false">
      <c r="A238" s="4" t="s">
        <v>97</v>
      </c>
      <c r="B238" s="4" t="n">
        <v>13</v>
      </c>
      <c r="C238" s="4" t="n">
        <f aca="false">IF(B238&lt;=7,1,2)</f>
        <v>2</v>
      </c>
      <c r="D238" s="15"/>
      <c r="E238" s="15"/>
      <c r="F238" s="15"/>
      <c r="G238" s="15"/>
      <c r="H238" s="15"/>
      <c r="I238" s="15"/>
      <c r="J238" s="15"/>
      <c r="K238" s="16"/>
      <c r="L238" s="16"/>
      <c r="M238" s="15"/>
      <c r="N238" s="14" t="str">
        <f aca="false">IF(OR(E238="",F238="",G238=""),"",10*(E238-1)+10*(G238-1)+10*(2-MIN(F238,2)))</f>
        <v/>
      </c>
      <c r="O238" s="14" t="n">
        <f aca="false">IF(AND(N238&lt;&gt;"",I238&lt;&gt;""),1,0)</f>
        <v>0</v>
      </c>
      <c r="P238" s="14" t="str">
        <f aca="false">IF(N238="","",IF(N238&lt;Ngưỡng!$B$4,1,0))</f>
        <v/>
      </c>
      <c r="Q238" s="14" t="str">
        <f aca="false">IF(I238="","",IF(I238&gt;=Ngưỡng!$B$5,1,0))</f>
        <v/>
      </c>
      <c r="R238" s="14" t="str">
        <f aca="false">IF(H238="","",IF(H238&lt;&gt;"Yên",1,0))</f>
        <v/>
      </c>
      <c r="S238" s="14" t="str">
        <f aca="false">IF(K238="","",IF(K238&gt;Ngưỡng!$B$6,1,0))</f>
        <v/>
      </c>
      <c r="T238" s="14" t="str">
        <f aca="false">IF(N238="","",IF(N238&gt;=Ngưỡng!$B$3,1,0))</f>
        <v/>
      </c>
      <c r="U238" s="14" t="n">
        <f aca="false">IF(I238=5,U237+1,0)</f>
        <v>0</v>
      </c>
      <c r="V238" s="14" t="n">
        <f aca="false">IF(AND(F238&lt;&gt;"",F238&gt;=2),V237+1,0)</f>
        <v>0</v>
      </c>
      <c r="W238" s="14" t="n">
        <f aca="false">IF(O238=0,W237+1,0)</f>
        <v>13</v>
      </c>
      <c r="X238" s="14" t="str">
        <f aca="false">IF(OR(E238="",F238=""),"",ROUND((10*(E238-1)+10*(2-MIN(F238,2)))/60*100,0))</f>
        <v/>
      </c>
    </row>
    <row r="239" customFormat="false" ht="15" hidden="false" customHeight="false" outlineLevel="0" collapsed="false">
      <c r="A239" s="4" t="s">
        <v>97</v>
      </c>
      <c r="B239" s="4" t="n">
        <v>14</v>
      </c>
      <c r="C239" s="4" t="n">
        <f aca="false">IF(B239&lt;=7,1,2)</f>
        <v>2</v>
      </c>
      <c r="D239" s="15"/>
      <c r="E239" s="15"/>
      <c r="F239" s="15"/>
      <c r="G239" s="15"/>
      <c r="H239" s="15"/>
      <c r="I239" s="15"/>
      <c r="J239" s="15"/>
      <c r="K239" s="16"/>
      <c r="L239" s="16"/>
      <c r="M239" s="15"/>
      <c r="N239" s="14" t="str">
        <f aca="false">IF(OR(E239="",F239="",G239=""),"",10*(E239-1)+10*(G239-1)+10*(2-MIN(F239,2)))</f>
        <v/>
      </c>
      <c r="O239" s="14" t="n">
        <f aca="false">IF(AND(N239&lt;&gt;"",I239&lt;&gt;""),1,0)</f>
        <v>0</v>
      </c>
      <c r="P239" s="14" t="str">
        <f aca="false">IF(N239="","",IF(N239&lt;Ngưỡng!$B$4,1,0))</f>
        <v/>
      </c>
      <c r="Q239" s="14" t="str">
        <f aca="false">IF(I239="","",IF(I239&gt;=Ngưỡng!$B$5,1,0))</f>
        <v/>
      </c>
      <c r="R239" s="14" t="str">
        <f aca="false">IF(H239="","",IF(H239&lt;&gt;"Yên",1,0))</f>
        <v/>
      </c>
      <c r="S239" s="14" t="str">
        <f aca="false">IF(K239="","",IF(K239&gt;Ngưỡng!$B$6,1,0))</f>
        <v/>
      </c>
      <c r="T239" s="14" t="str">
        <f aca="false">IF(N239="","",IF(N239&gt;=Ngưỡng!$B$3,1,0))</f>
        <v/>
      </c>
      <c r="U239" s="14" t="n">
        <f aca="false">IF(I239=5,U238+1,0)</f>
        <v>0</v>
      </c>
      <c r="V239" s="14" t="n">
        <f aca="false">IF(AND(F239&lt;&gt;"",F239&gt;=2),V238+1,0)</f>
        <v>0</v>
      </c>
      <c r="W239" s="14" t="n">
        <f aca="false">IF(O239=0,W238+1,0)</f>
        <v>14</v>
      </c>
      <c r="X239" s="14" t="str">
        <f aca="false">IF(OR(E239="",F239=""),"",ROUND((10*(E239-1)+10*(2-MIN(F239,2)))/60*100,0))</f>
        <v/>
      </c>
    </row>
    <row r="240" customFormat="false" ht="15" hidden="false" customHeight="false" outlineLevel="0" collapsed="false">
      <c r="A240" s="4" t="s">
        <v>98</v>
      </c>
      <c r="B240" s="4" t="n">
        <v>1</v>
      </c>
      <c r="C240" s="4" t="n">
        <f aca="false">IF(B240&lt;=7,1,2)</f>
        <v>1</v>
      </c>
      <c r="D240" s="15"/>
      <c r="E240" s="15"/>
      <c r="F240" s="15"/>
      <c r="G240" s="15"/>
      <c r="H240" s="15"/>
      <c r="I240" s="15"/>
      <c r="J240" s="15"/>
      <c r="K240" s="16"/>
      <c r="L240" s="16"/>
      <c r="M240" s="15"/>
      <c r="N240" s="14" t="str">
        <f aca="false">IF(OR(E240="",F240="",G240=""),"",10*(E240-1)+10*(G240-1)+10*(2-MIN(F240,2)))</f>
        <v/>
      </c>
      <c r="O240" s="14" t="n">
        <f aca="false">IF(AND(N240&lt;&gt;"",I240&lt;&gt;""),1,0)</f>
        <v>0</v>
      </c>
      <c r="P240" s="14" t="str">
        <f aca="false">IF(N240="","",IF(N240&lt;Ngưỡng!$B$4,1,0))</f>
        <v/>
      </c>
      <c r="Q240" s="14" t="str">
        <f aca="false">IF(I240="","",IF(I240&gt;=Ngưỡng!$B$5,1,0))</f>
        <v/>
      </c>
      <c r="R240" s="14" t="str">
        <f aca="false">IF(H240="","",IF(H240&lt;&gt;"Yên",1,0))</f>
        <v/>
      </c>
      <c r="S240" s="14" t="str">
        <f aca="false">IF(K240="","",IF(K240&gt;Ngưỡng!$B$6,1,0))</f>
        <v/>
      </c>
      <c r="T240" s="14" t="str">
        <f aca="false">IF(N240="","",IF(N240&gt;=Ngưỡng!$B$3,1,0))</f>
        <v/>
      </c>
      <c r="U240" s="14" t="n">
        <f aca="false">IF(I240=5,0+1,0)</f>
        <v>0</v>
      </c>
      <c r="V240" s="14" t="n">
        <f aca="false">IF(AND(F240&lt;&gt;"",F240&gt;=2),0+1,0)</f>
        <v>0</v>
      </c>
      <c r="W240" s="14" t="n">
        <f aca="false">IF(O240=0,0+1,0)</f>
        <v>1</v>
      </c>
      <c r="X240" s="14" t="str">
        <f aca="false">IF(OR(E240="",F240=""),"",ROUND((10*(E240-1)+10*(2-MIN(F240,2)))/60*100,0))</f>
        <v/>
      </c>
    </row>
    <row r="241" customFormat="false" ht="15" hidden="false" customHeight="false" outlineLevel="0" collapsed="false">
      <c r="A241" s="4" t="s">
        <v>98</v>
      </c>
      <c r="B241" s="4" t="n">
        <v>2</v>
      </c>
      <c r="C241" s="4" t="n">
        <f aca="false">IF(B241&lt;=7,1,2)</f>
        <v>1</v>
      </c>
      <c r="D241" s="15"/>
      <c r="E241" s="15"/>
      <c r="F241" s="15"/>
      <c r="G241" s="15"/>
      <c r="H241" s="15"/>
      <c r="I241" s="15"/>
      <c r="J241" s="15"/>
      <c r="K241" s="16"/>
      <c r="L241" s="16"/>
      <c r="M241" s="15"/>
      <c r="N241" s="14" t="str">
        <f aca="false">IF(OR(E241="",F241="",G241=""),"",10*(E241-1)+10*(G241-1)+10*(2-MIN(F241,2)))</f>
        <v/>
      </c>
      <c r="O241" s="14" t="n">
        <f aca="false">IF(AND(N241&lt;&gt;"",I241&lt;&gt;""),1,0)</f>
        <v>0</v>
      </c>
      <c r="P241" s="14" t="str">
        <f aca="false">IF(N241="","",IF(N241&lt;Ngưỡng!$B$4,1,0))</f>
        <v/>
      </c>
      <c r="Q241" s="14" t="str">
        <f aca="false">IF(I241="","",IF(I241&gt;=Ngưỡng!$B$5,1,0))</f>
        <v/>
      </c>
      <c r="R241" s="14" t="str">
        <f aca="false">IF(H241="","",IF(H241&lt;&gt;"Yên",1,0))</f>
        <v/>
      </c>
      <c r="S241" s="14" t="str">
        <f aca="false">IF(K241="","",IF(K241&gt;Ngưỡng!$B$6,1,0))</f>
        <v/>
      </c>
      <c r="T241" s="14" t="str">
        <f aca="false">IF(N241="","",IF(N241&gt;=Ngưỡng!$B$3,1,0))</f>
        <v/>
      </c>
      <c r="U241" s="14" t="n">
        <f aca="false">IF(I241=5,U240+1,0)</f>
        <v>0</v>
      </c>
      <c r="V241" s="14" t="n">
        <f aca="false">IF(AND(F241&lt;&gt;"",F241&gt;=2),V240+1,0)</f>
        <v>0</v>
      </c>
      <c r="W241" s="14" t="n">
        <f aca="false">IF(O241=0,W240+1,0)</f>
        <v>2</v>
      </c>
      <c r="X241" s="14" t="str">
        <f aca="false">IF(OR(E241="",F241=""),"",ROUND((10*(E241-1)+10*(2-MIN(F241,2)))/60*100,0))</f>
        <v/>
      </c>
    </row>
    <row r="242" customFormat="false" ht="15" hidden="false" customHeight="false" outlineLevel="0" collapsed="false">
      <c r="A242" s="4" t="s">
        <v>98</v>
      </c>
      <c r="B242" s="4" t="n">
        <v>3</v>
      </c>
      <c r="C242" s="4" t="n">
        <f aca="false">IF(B242&lt;=7,1,2)</f>
        <v>1</v>
      </c>
      <c r="D242" s="15"/>
      <c r="E242" s="15"/>
      <c r="F242" s="15"/>
      <c r="G242" s="15"/>
      <c r="H242" s="15"/>
      <c r="I242" s="15"/>
      <c r="J242" s="15"/>
      <c r="K242" s="16"/>
      <c r="L242" s="16"/>
      <c r="M242" s="15"/>
      <c r="N242" s="14" t="str">
        <f aca="false">IF(OR(E242="",F242="",G242=""),"",10*(E242-1)+10*(G242-1)+10*(2-MIN(F242,2)))</f>
        <v/>
      </c>
      <c r="O242" s="14" t="n">
        <f aca="false">IF(AND(N242&lt;&gt;"",I242&lt;&gt;""),1,0)</f>
        <v>0</v>
      </c>
      <c r="P242" s="14" t="str">
        <f aca="false">IF(N242="","",IF(N242&lt;Ngưỡng!$B$4,1,0))</f>
        <v/>
      </c>
      <c r="Q242" s="14" t="str">
        <f aca="false">IF(I242="","",IF(I242&gt;=Ngưỡng!$B$5,1,0))</f>
        <v/>
      </c>
      <c r="R242" s="14" t="str">
        <f aca="false">IF(H242="","",IF(H242&lt;&gt;"Yên",1,0))</f>
        <v/>
      </c>
      <c r="S242" s="14" t="str">
        <f aca="false">IF(K242="","",IF(K242&gt;Ngưỡng!$B$6,1,0))</f>
        <v/>
      </c>
      <c r="T242" s="14" t="str">
        <f aca="false">IF(N242="","",IF(N242&gt;=Ngưỡng!$B$3,1,0))</f>
        <v/>
      </c>
      <c r="U242" s="14" t="n">
        <f aca="false">IF(I242=5,U241+1,0)</f>
        <v>0</v>
      </c>
      <c r="V242" s="14" t="n">
        <f aca="false">IF(AND(F242&lt;&gt;"",F242&gt;=2),V241+1,0)</f>
        <v>0</v>
      </c>
      <c r="W242" s="14" t="n">
        <f aca="false">IF(O242=0,W241+1,0)</f>
        <v>3</v>
      </c>
      <c r="X242" s="14" t="str">
        <f aca="false">IF(OR(E242="",F242=""),"",ROUND((10*(E242-1)+10*(2-MIN(F242,2)))/60*100,0))</f>
        <v/>
      </c>
    </row>
    <row r="243" customFormat="false" ht="15" hidden="false" customHeight="false" outlineLevel="0" collapsed="false">
      <c r="A243" s="4" t="s">
        <v>98</v>
      </c>
      <c r="B243" s="4" t="n">
        <v>4</v>
      </c>
      <c r="C243" s="4" t="n">
        <f aca="false">IF(B243&lt;=7,1,2)</f>
        <v>1</v>
      </c>
      <c r="D243" s="15"/>
      <c r="E243" s="15"/>
      <c r="F243" s="15"/>
      <c r="G243" s="15"/>
      <c r="H243" s="15"/>
      <c r="I243" s="15"/>
      <c r="J243" s="15"/>
      <c r="K243" s="16"/>
      <c r="L243" s="16"/>
      <c r="M243" s="15"/>
      <c r="N243" s="14" t="str">
        <f aca="false">IF(OR(E243="",F243="",G243=""),"",10*(E243-1)+10*(G243-1)+10*(2-MIN(F243,2)))</f>
        <v/>
      </c>
      <c r="O243" s="14" t="n">
        <f aca="false">IF(AND(N243&lt;&gt;"",I243&lt;&gt;""),1,0)</f>
        <v>0</v>
      </c>
      <c r="P243" s="14" t="str">
        <f aca="false">IF(N243="","",IF(N243&lt;Ngưỡng!$B$4,1,0))</f>
        <v/>
      </c>
      <c r="Q243" s="14" t="str">
        <f aca="false">IF(I243="","",IF(I243&gt;=Ngưỡng!$B$5,1,0))</f>
        <v/>
      </c>
      <c r="R243" s="14" t="str">
        <f aca="false">IF(H243="","",IF(H243&lt;&gt;"Yên",1,0))</f>
        <v/>
      </c>
      <c r="S243" s="14" t="str">
        <f aca="false">IF(K243="","",IF(K243&gt;Ngưỡng!$B$6,1,0))</f>
        <v/>
      </c>
      <c r="T243" s="14" t="str">
        <f aca="false">IF(N243="","",IF(N243&gt;=Ngưỡng!$B$3,1,0))</f>
        <v/>
      </c>
      <c r="U243" s="14" t="n">
        <f aca="false">IF(I243=5,U242+1,0)</f>
        <v>0</v>
      </c>
      <c r="V243" s="14" t="n">
        <f aca="false">IF(AND(F243&lt;&gt;"",F243&gt;=2),V242+1,0)</f>
        <v>0</v>
      </c>
      <c r="W243" s="14" t="n">
        <f aca="false">IF(O243=0,W242+1,0)</f>
        <v>4</v>
      </c>
      <c r="X243" s="14" t="str">
        <f aca="false">IF(OR(E243="",F243=""),"",ROUND((10*(E243-1)+10*(2-MIN(F243,2)))/60*100,0))</f>
        <v/>
      </c>
    </row>
    <row r="244" customFormat="false" ht="15" hidden="false" customHeight="false" outlineLevel="0" collapsed="false">
      <c r="A244" s="4" t="s">
        <v>98</v>
      </c>
      <c r="B244" s="4" t="n">
        <v>5</v>
      </c>
      <c r="C244" s="4" t="n">
        <f aca="false">IF(B244&lt;=7,1,2)</f>
        <v>1</v>
      </c>
      <c r="D244" s="15"/>
      <c r="E244" s="15"/>
      <c r="F244" s="15"/>
      <c r="G244" s="15"/>
      <c r="H244" s="15"/>
      <c r="I244" s="15"/>
      <c r="J244" s="15"/>
      <c r="K244" s="16"/>
      <c r="L244" s="16"/>
      <c r="M244" s="15"/>
      <c r="N244" s="14" t="str">
        <f aca="false">IF(OR(E244="",F244="",G244=""),"",10*(E244-1)+10*(G244-1)+10*(2-MIN(F244,2)))</f>
        <v/>
      </c>
      <c r="O244" s="14" t="n">
        <f aca="false">IF(AND(N244&lt;&gt;"",I244&lt;&gt;""),1,0)</f>
        <v>0</v>
      </c>
      <c r="P244" s="14" t="str">
        <f aca="false">IF(N244="","",IF(N244&lt;Ngưỡng!$B$4,1,0))</f>
        <v/>
      </c>
      <c r="Q244" s="14" t="str">
        <f aca="false">IF(I244="","",IF(I244&gt;=Ngưỡng!$B$5,1,0))</f>
        <v/>
      </c>
      <c r="R244" s="14" t="str">
        <f aca="false">IF(H244="","",IF(H244&lt;&gt;"Yên",1,0))</f>
        <v/>
      </c>
      <c r="S244" s="14" t="str">
        <f aca="false">IF(K244="","",IF(K244&gt;Ngưỡng!$B$6,1,0))</f>
        <v/>
      </c>
      <c r="T244" s="14" t="str">
        <f aca="false">IF(N244="","",IF(N244&gt;=Ngưỡng!$B$3,1,0))</f>
        <v/>
      </c>
      <c r="U244" s="14" t="n">
        <f aca="false">IF(I244=5,U243+1,0)</f>
        <v>0</v>
      </c>
      <c r="V244" s="14" t="n">
        <f aca="false">IF(AND(F244&lt;&gt;"",F244&gt;=2),V243+1,0)</f>
        <v>0</v>
      </c>
      <c r="W244" s="14" t="n">
        <f aca="false">IF(O244=0,W243+1,0)</f>
        <v>5</v>
      </c>
      <c r="X244" s="14" t="str">
        <f aca="false">IF(OR(E244="",F244=""),"",ROUND((10*(E244-1)+10*(2-MIN(F244,2)))/60*100,0))</f>
        <v/>
      </c>
    </row>
    <row r="245" customFormat="false" ht="15" hidden="false" customHeight="false" outlineLevel="0" collapsed="false">
      <c r="A245" s="4" t="s">
        <v>98</v>
      </c>
      <c r="B245" s="4" t="n">
        <v>6</v>
      </c>
      <c r="C245" s="4" t="n">
        <f aca="false">IF(B245&lt;=7,1,2)</f>
        <v>1</v>
      </c>
      <c r="D245" s="15"/>
      <c r="E245" s="15"/>
      <c r="F245" s="15"/>
      <c r="G245" s="15"/>
      <c r="H245" s="15"/>
      <c r="I245" s="15"/>
      <c r="J245" s="15"/>
      <c r="K245" s="16"/>
      <c r="L245" s="16"/>
      <c r="M245" s="15"/>
      <c r="N245" s="14" t="str">
        <f aca="false">IF(OR(E245="",F245="",G245=""),"",10*(E245-1)+10*(G245-1)+10*(2-MIN(F245,2)))</f>
        <v/>
      </c>
      <c r="O245" s="14" t="n">
        <f aca="false">IF(AND(N245&lt;&gt;"",I245&lt;&gt;""),1,0)</f>
        <v>0</v>
      </c>
      <c r="P245" s="14" t="str">
        <f aca="false">IF(N245="","",IF(N245&lt;Ngưỡng!$B$4,1,0))</f>
        <v/>
      </c>
      <c r="Q245" s="14" t="str">
        <f aca="false">IF(I245="","",IF(I245&gt;=Ngưỡng!$B$5,1,0))</f>
        <v/>
      </c>
      <c r="R245" s="14" t="str">
        <f aca="false">IF(H245="","",IF(H245&lt;&gt;"Yên",1,0))</f>
        <v/>
      </c>
      <c r="S245" s="14" t="str">
        <f aca="false">IF(K245="","",IF(K245&gt;Ngưỡng!$B$6,1,0))</f>
        <v/>
      </c>
      <c r="T245" s="14" t="str">
        <f aca="false">IF(N245="","",IF(N245&gt;=Ngưỡng!$B$3,1,0))</f>
        <v/>
      </c>
      <c r="U245" s="14" t="n">
        <f aca="false">IF(I245=5,U244+1,0)</f>
        <v>0</v>
      </c>
      <c r="V245" s="14" t="n">
        <f aca="false">IF(AND(F245&lt;&gt;"",F245&gt;=2),V244+1,0)</f>
        <v>0</v>
      </c>
      <c r="W245" s="14" t="n">
        <f aca="false">IF(O245=0,W244+1,0)</f>
        <v>6</v>
      </c>
      <c r="X245" s="14" t="str">
        <f aca="false">IF(OR(E245="",F245=""),"",ROUND((10*(E245-1)+10*(2-MIN(F245,2)))/60*100,0))</f>
        <v/>
      </c>
    </row>
    <row r="246" customFormat="false" ht="15" hidden="false" customHeight="false" outlineLevel="0" collapsed="false">
      <c r="A246" s="4" t="s">
        <v>98</v>
      </c>
      <c r="B246" s="4" t="n">
        <v>7</v>
      </c>
      <c r="C246" s="4" t="n">
        <f aca="false">IF(B246&lt;=7,1,2)</f>
        <v>1</v>
      </c>
      <c r="D246" s="15"/>
      <c r="E246" s="15"/>
      <c r="F246" s="15"/>
      <c r="G246" s="15"/>
      <c r="H246" s="15"/>
      <c r="I246" s="15"/>
      <c r="J246" s="15"/>
      <c r="K246" s="16"/>
      <c r="L246" s="16"/>
      <c r="M246" s="15"/>
      <c r="N246" s="14" t="str">
        <f aca="false">IF(OR(E246="",F246="",G246=""),"",10*(E246-1)+10*(G246-1)+10*(2-MIN(F246,2)))</f>
        <v/>
      </c>
      <c r="O246" s="14" t="n">
        <f aca="false">IF(AND(N246&lt;&gt;"",I246&lt;&gt;""),1,0)</f>
        <v>0</v>
      </c>
      <c r="P246" s="14" t="str">
        <f aca="false">IF(N246="","",IF(N246&lt;Ngưỡng!$B$4,1,0))</f>
        <v/>
      </c>
      <c r="Q246" s="14" t="str">
        <f aca="false">IF(I246="","",IF(I246&gt;=Ngưỡng!$B$5,1,0))</f>
        <v/>
      </c>
      <c r="R246" s="14" t="str">
        <f aca="false">IF(H246="","",IF(H246&lt;&gt;"Yên",1,0))</f>
        <v/>
      </c>
      <c r="S246" s="14" t="str">
        <f aca="false">IF(K246="","",IF(K246&gt;Ngưỡng!$B$6,1,0))</f>
        <v/>
      </c>
      <c r="T246" s="14" t="str">
        <f aca="false">IF(N246="","",IF(N246&gt;=Ngưỡng!$B$3,1,0))</f>
        <v/>
      </c>
      <c r="U246" s="14" t="n">
        <f aca="false">IF(I246=5,U245+1,0)</f>
        <v>0</v>
      </c>
      <c r="V246" s="14" t="n">
        <f aca="false">IF(AND(F246&lt;&gt;"",F246&gt;=2),V245+1,0)</f>
        <v>0</v>
      </c>
      <c r="W246" s="14" t="n">
        <f aca="false">IF(O246=0,W245+1,0)</f>
        <v>7</v>
      </c>
      <c r="X246" s="14" t="str">
        <f aca="false">IF(OR(E246="",F246=""),"",ROUND((10*(E246-1)+10*(2-MIN(F246,2)))/60*100,0))</f>
        <v/>
      </c>
    </row>
    <row r="247" customFormat="false" ht="15" hidden="false" customHeight="false" outlineLevel="0" collapsed="false">
      <c r="A247" s="4" t="s">
        <v>98</v>
      </c>
      <c r="B247" s="4" t="n">
        <v>8</v>
      </c>
      <c r="C247" s="4" t="n">
        <f aca="false">IF(B247&lt;=7,1,2)</f>
        <v>2</v>
      </c>
      <c r="D247" s="15"/>
      <c r="E247" s="15"/>
      <c r="F247" s="15"/>
      <c r="G247" s="15"/>
      <c r="H247" s="15"/>
      <c r="I247" s="15"/>
      <c r="J247" s="15"/>
      <c r="K247" s="16"/>
      <c r="L247" s="16"/>
      <c r="M247" s="15"/>
      <c r="N247" s="14" t="str">
        <f aca="false">IF(OR(E247="",F247="",G247=""),"",10*(E247-1)+10*(G247-1)+10*(2-MIN(F247,2)))</f>
        <v/>
      </c>
      <c r="O247" s="14" t="n">
        <f aca="false">IF(AND(N247&lt;&gt;"",I247&lt;&gt;""),1,0)</f>
        <v>0</v>
      </c>
      <c r="P247" s="14" t="str">
        <f aca="false">IF(N247="","",IF(N247&lt;Ngưỡng!$B$4,1,0))</f>
        <v/>
      </c>
      <c r="Q247" s="14" t="str">
        <f aca="false">IF(I247="","",IF(I247&gt;=Ngưỡng!$B$5,1,0))</f>
        <v/>
      </c>
      <c r="R247" s="14" t="str">
        <f aca="false">IF(H247="","",IF(H247&lt;&gt;"Yên",1,0))</f>
        <v/>
      </c>
      <c r="S247" s="14" t="str">
        <f aca="false">IF(K247="","",IF(K247&gt;Ngưỡng!$B$6,1,0))</f>
        <v/>
      </c>
      <c r="T247" s="14" t="str">
        <f aca="false">IF(N247="","",IF(N247&gt;=Ngưỡng!$B$3,1,0))</f>
        <v/>
      </c>
      <c r="U247" s="14" t="n">
        <f aca="false">IF(I247=5,U246+1,0)</f>
        <v>0</v>
      </c>
      <c r="V247" s="14" t="n">
        <f aca="false">IF(AND(F247&lt;&gt;"",F247&gt;=2),V246+1,0)</f>
        <v>0</v>
      </c>
      <c r="W247" s="14" t="n">
        <f aca="false">IF(O247=0,W246+1,0)</f>
        <v>8</v>
      </c>
      <c r="X247" s="14" t="str">
        <f aca="false">IF(OR(E247="",F247=""),"",ROUND((10*(E247-1)+10*(2-MIN(F247,2)))/60*100,0))</f>
        <v/>
      </c>
    </row>
    <row r="248" customFormat="false" ht="15" hidden="false" customHeight="false" outlineLevel="0" collapsed="false">
      <c r="A248" s="4" t="s">
        <v>98</v>
      </c>
      <c r="B248" s="4" t="n">
        <v>9</v>
      </c>
      <c r="C248" s="4" t="n">
        <f aca="false">IF(B248&lt;=7,1,2)</f>
        <v>2</v>
      </c>
      <c r="D248" s="15"/>
      <c r="E248" s="15"/>
      <c r="F248" s="15"/>
      <c r="G248" s="15"/>
      <c r="H248" s="15"/>
      <c r="I248" s="15"/>
      <c r="J248" s="15"/>
      <c r="K248" s="16"/>
      <c r="L248" s="16"/>
      <c r="M248" s="15"/>
      <c r="N248" s="14" t="str">
        <f aca="false">IF(OR(E248="",F248="",G248=""),"",10*(E248-1)+10*(G248-1)+10*(2-MIN(F248,2)))</f>
        <v/>
      </c>
      <c r="O248" s="14" t="n">
        <f aca="false">IF(AND(N248&lt;&gt;"",I248&lt;&gt;""),1,0)</f>
        <v>0</v>
      </c>
      <c r="P248" s="14" t="str">
        <f aca="false">IF(N248="","",IF(N248&lt;Ngưỡng!$B$4,1,0))</f>
        <v/>
      </c>
      <c r="Q248" s="14" t="str">
        <f aca="false">IF(I248="","",IF(I248&gt;=Ngưỡng!$B$5,1,0))</f>
        <v/>
      </c>
      <c r="R248" s="14" t="str">
        <f aca="false">IF(H248="","",IF(H248&lt;&gt;"Yên",1,0))</f>
        <v/>
      </c>
      <c r="S248" s="14" t="str">
        <f aca="false">IF(K248="","",IF(K248&gt;Ngưỡng!$B$6,1,0))</f>
        <v/>
      </c>
      <c r="T248" s="14" t="str">
        <f aca="false">IF(N248="","",IF(N248&gt;=Ngưỡng!$B$3,1,0))</f>
        <v/>
      </c>
      <c r="U248" s="14" t="n">
        <f aca="false">IF(I248=5,U247+1,0)</f>
        <v>0</v>
      </c>
      <c r="V248" s="14" t="n">
        <f aca="false">IF(AND(F248&lt;&gt;"",F248&gt;=2),V247+1,0)</f>
        <v>0</v>
      </c>
      <c r="W248" s="14" t="n">
        <f aca="false">IF(O248=0,W247+1,0)</f>
        <v>9</v>
      </c>
      <c r="X248" s="14" t="str">
        <f aca="false">IF(OR(E248="",F248=""),"",ROUND((10*(E248-1)+10*(2-MIN(F248,2)))/60*100,0))</f>
        <v/>
      </c>
    </row>
    <row r="249" customFormat="false" ht="15" hidden="false" customHeight="false" outlineLevel="0" collapsed="false">
      <c r="A249" s="4" t="s">
        <v>98</v>
      </c>
      <c r="B249" s="4" t="n">
        <v>10</v>
      </c>
      <c r="C249" s="4" t="n">
        <f aca="false">IF(B249&lt;=7,1,2)</f>
        <v>2</v>
      </c>
      <c r="D249" s="15"/>
      <c r="E249" s="15"/>
      <c r="F249" s="15"/>
      <c r="G249" s="15"/>
      <c r="H249" s="15"/>
      <c r="I249" s="15"/>
      <c r="J249" s="15"/>
      <c r="K249" s="16"/>
      <c r="L249" s="16"/>
      <c r="M249" s="15"/>
      <c r="N249" s="14" t="str">
        <f aca="false">IF(OR(E249="",F249="",G249=""),"",10*(E249-1)+10*(G249-1)+10*(2-MIN(F249,2)))</f>
        <v/>
      </c>
      <c r="O249" s="14" t="n">
        <f aca="false">IF(AND(N249&lt;&gt;"",I249&lt;&gt;""),1,0)</f>
        <v>0</v>
      </c>
      <c r="P249" s="14" t="str">
        <f aca="false">IF(N249="","",IF(N249&lt;Ngưỡng!$B$4,1,0))</f>
        <v/>
      </c>
      <c r="Q249" s="14" t="str">
        <f aca="false">IF(I249="","",IF(I249&gt;=Ngưỡng!$B$5,1,0))</f>
        <v/>
      </c>
      <c r="R249" s="14" t="str">
        <f aca="false">IF(H249="","",IF(H249&lt;&gt;"Yên",1,0))</f>
        <v/>
      </c>
      <c r="S249" s="14" t="str">
        <f aca="false">IF(K249="","",IF(K249&gt;Ngưỡng!$B$6,1,0))</f>
        <v/>
      </c>
      <c r="T249" s="14" t="str">
        <f aca="false">IF(N249="","",IF(N249&gt;=Ngưỡng!$B$3,1,0))</f>
        <v/>
      </c>
      <c r="U249" s="14" t="n">
        <f aca="false">IF(I249=5,U248+1,0)</f>
        <v>0</v>
      </c>
      <c r="V249" s="14" t="n">
        <f aca="false">IF(AND(F249&lt;&gt;"",F249&gt;=2),V248+1,0)</f>
        <v>0</v>
      </c>
      <c r="W249" s="14" t="n">
        <f aca="false">IF(O249=0,W248+1,0)</f>
        <v>10</v>
      </c>
      <c r="X249" s="14" t="str">
        <f aca="false">IF(OR(E249="",F249=""),"",ROUND((10*(E249-1)+10*(2-MIN(F249,2)))/60*100,0))</f>
        <v/>
      </c>
    </row>
    <row r="250" customFormat="false" ht="15" hidden="false" customHeight="false" outlineLevel="0" collapsed="false">
      <c r="A250" s="4" t="s">
        <v>98</v>
      </c>
      <c r="B250" s="4" t="n">
        <v>11</v>
      </c>
      <c r="C250" s="4" t="n">
        <f aca="false">IF(B250&lt;=7,1,2)</f>
        <v>2</v>
      </c>
      <c r="D250" s="15"/>
      <c r="E250" s="15"/>
      <c r="F250" s="15"/>
      <c r="G250" s="15"/>
      <c r="H250" s="15"/>
      <c r="I250" s="15"/>
      <c r="J250" s="15"/>
      <c r="K250" s="16"/>
      <c r="L250" s="16"/>
      <c r="M250" s="15"/>
      <c r="N250" s="14" t="str">
        <f aca="false">IF(OR(E250="",F250="",G250=""),"",10*(E250-1)+10*(G250-1)+10*(2-MIN(F250,2)))</f>
        <v/>
      </c>
      <c r="O250" s="14" t="n">
        <f aca="false">IF(AND(N250&lt;&gt;"",I250&lt;&gt;""),1,0)</f>
        <v>0</v>
      </c>
      <c r="P250" s="14" t="str">
        <f aca="false">IF(N250="","",IF(N250&lt;Ngưỡng!$B$4,1,0))</f>
        <v/>
      </c>
      <c r="Q250" s="14" t="str">
        <f aca="false">IF(I250="","",IF(I250&gt;=Ngưỡng!$B$5,1,0))</f>
        <v/>
      </c>
      <c r="R250" s="14" t="str">
        <f aca="false">IF(H250="","",IF(H250&lt;&gt;"Yên",1,0))</f>
        <v/>
      </c>
      <c r="S250" s="14" t="str">
        <f aca="false">IF(K250="","",IF(K250&gt;Ngưỡng!$B$6,1,0))</f>
        <v/>
      </c>
      <c r="T250" s="14" t="str">
        <f aca="false">IF(N250="","",IF(N250&gt;=Ngưỡng!$B$3,1,0))</f>
        <v/>
      </c>
      <c r="U250" s="14" t="n">
        <f aca="false">IF(I250=5,U249+1,0)</f>
        <v>0</v>
      </c>
      <c r="V250" s="14" t="n">
        <f aca="false">IF(AND(F250&lt;&gt;"",F250&gt;=2),V249+1,0)</f>
        <v>0</v>
      </c>
      <c r="W250" s="14" t="n">
        <f aca="false">IF(O250=0,W249+1,0)</f>
        <v>11</v>
      </c>
      <c r="X250" s="14" t="str">
        <f aca="false">IF(OR(E250="",F250=""),"",ROUND((10*(E250-1)+10*(2-MIN(F250,2)))/60*100,0))</f>
        <v/>
      </c>
    </row>
    <row r="251" customFormat="false" ht="15" hidden="false" customHeight="false" outlineLevel="0" collapsed="false">
      <c r="A251" s="4" t="s">
        <v>98</v>
      </c>
      <c r="B251" s="4" t="n">
        <v>12</v>
      </c>
      <c r="C251" s="4" t="n">
        <f aca="false">IF(B251&lt;=7,1,2)</f>
        <v>2</v>
      </c>
      <c r="D251" s="15"/>
      <c r="E251" s="15"/>
      <c r="F251" s="15"/>
      <c r="G251" s="15"/>
      <c r="H251" s="15"/>
      <c r="I251" s="15"/>
      <c r="J251" s="15"/>
      <c r="K251" s="16"/>
      <c r="L251" s="16"/>
      <c r="M251" s="15"/>
      <c r="N251" s="14" t="str">
        <f aca="false">IF(OR(E251="",F251="",G251=""),"",10*(E251-1)+10*(G251-1)+10*(2-MIN(F251,2)))</f>
        <v/>
      </c>
      <c r="O251" s="14" t="n">
        <f aca="false">IF(AND(N251&lt;&gt;"",I251&lt;&gt;""),1,0)</f>
        <v>0</v>
      </c>
      <c r="P251" s="14" t="str">
        <f aca="false">IF(N251="","",IF(N251&lt;Ngưỡng!$B$4,1,0))</f>
        <v/>
      </c>
      <c r="Q251" s="14" t="str">
        <f aca="false">IF(I251="","",IF(I251&gt;=Ngưỡng!$B$5,1,0))</f>
        <v/>
      </c>
      <c r="R251" s="14" t="str">
        <f aca="false">IF(H251="","",IF(H251&lt;&gt;"Yên",1,0))</f>
        <v/>
      </c>
      <c r="S251" s="14" t="str">
        <f aca="false">IF(K251="","",IF(K251&gt;Ngưỡng!$B$6,1,0))</f>
        <v/>
      </c>
      <c r="T251" s="14" t="str">
        <f aca="false">IF(N251="","",IF(N251&gt;=Ngưỡng!$B$3,1,0))</f>
        <v/>
      </c>
      <c r="U251" s="14" t="n">
        <f aca="false">IF(I251=5,U250+1,0)</f>
        <v>0</v>
      </c>
      <c r="V251" s="14" t="n">
        <f aca="false">IF(AND(F251&lt;&gt;"",F251&gt;=2),V250+1,0)</f>
        <v>0</v>
      </c>
      <c r="W251" s="14" t="n">
        <f aca="false">IF(O251=0,W250+1,0)</f>
        <v>12</v>
      </c>
      <c r="X251" s="14" t="str">
        <f aca="false">IF(OR(E251="",F251=""),"",ROUND((10*(E251-1)+10*(2-MIN(F251,2)))/60*100,0))</f>
        <v/>
      </c>
    </row>
    <row r="252" customFormat="false" ht="15" hidden="false" customHeight="false" outlineLevel="0" collapsed="false">
      <c r="A252" s="4" t="s">
        <v>98</v>
      </c>
      <c r="B252" s="4" t="n">
        <v>13</v>
      </c>
      <c r="C252" s="4" t="n">
        <f aca="false">IF(B252&lt;=7,1,2)</f>
        <v>2</v>
      </c>
      <c r="D252" s="15"/>
      <c r="E252" s="15"/>
      <c r="F252" s="15"/>
      <c r="G252" s="15"/>
      <c r="H252" s="15"/>
      <c r="I252" s="15"/>
      <c r="J252" s="15"/>
      <c r="K252" s="16"/>
      <c r="L252" s="16"/>
      <c r="M252" s="15"/>
      <c r="N252" s="14" t="str">
        <f aca="false">IF(OR(E252="",F252="",G252=""),"",10*(E252-1)+10*(G252-1)+10*(2-MIN(F252,2)))</f>
        <v/>
      </c>
      <c r="O252" s="14" t="n">
        <f aca="false">IF(AND(N252&lt;&gt;"",I252&lt;&gt;""),1,0)</f>
        <v>0</v>
      </c>
      <c r="P252" s="14" t="str">
        <f aca="false">IF(N252="","",IF(N252&lt;Ngưỡng!$B$4,1,0))</f>
        <v/>
      </c>
      <c r="Q252" s="14" t="str">
        <f aca="false">IF(I252="","",IF(I252&gt;=Ngưỡng!$B$5,1,0))</f>
        <v/>
      </c>
      <c r="R252" s="14" t="str">
        <f aca="false">IF(H252="","",IF(H252&lt;&gt;"Yên",1,0))</f>
        <v/>
      </c>
      <c r="S252" s="14" t="str">
        <f aca="false">IF(K252="","",IF(K252&gt;Ngưỡng!$B$6,1,0))</f>
        <v/>
      </c>
      <c r="T252" s="14" t="str">
        <f aca="false">IF(N252="","",IF(N252&gt;=Ngưỡng!$B$3,1,0))</f>
        <v/>
      </c>
      <c r="U252" s="14" t="n">
        <f aca="false">IF(I252=5,U251+1,0)</f>
        <v>0</v>
      </c>
      <c r="V252" s="14" t="n">
        <f aca="false">IF(AND(F252&lt;&gt;"",F252&gt;=2),V251+1,0)</f>
        <v>0</v>
      </c>
      <c r="W252" s="14" t="n">
        <f aca="false">IF(O252=0,W251+1,0)</f>
        <v>13</v>
      </c>
      <c r="X252" s="14" t="str">
        <f aca="false">IF(OR(E252="",F252=""),"",ROUND((10*(E252-1)+10*(2-MIN(F252,2)))/60*100,0))</f>
        <v/>
      </c>
    </row>
    <row r="253" customFormat="false" ht="15" hidden="false" customHeight="false" outlineLevel="0" collapsed="false">
      <c r="A253" s="4" t="s">
        <v>98</v>
      </c>
      <c r="B253" s="4" t="n">
        <v>14</v>
      </c>
      <c r="C253" s="4" t="n">
        <f aca="false">IF(B253&lt;=7,1,2)</f>
        <v>2</v>
      </c>
      <c r="D253" s="15"/>
      <c r="E253" s="15"/>
      <c r="F253" s="15"/>
      <c r="G253" s="15"/>
      <c r="H253" s="15"/>
      <c r="I253" s="15"/>
      <c r="J253" s="15"/>
      <c r="K253" s="16"/>
      <c r="L253" s="16"/>
      <c r="M253" s="15"/>
      <c r="N253" s="14" t="str">
        <f aca="false">IF(OR(E253="",F253="",G253=""),"",10*(E253-1)+10*(G253-1)+10*(2-MIN(F253,2)))</f>
        <v/>
      </c>
      <c r="O253" s="14" t="n">
        <f aca="false">IF(AND(N253&lt;&gt;"",I253&lt;&gt;""),1,0)</f>
        <v>0</v>
      </c>
      <c r="P253" s="14" t="str">
        <f aca="false">IF(N253="","",IF(N253&lt;Ngưỡng!$B$4,1,0))</f>
        <v/>
      </c>
      <c r="Q253" s="14" t="str">
        <f aca="false">IF(I253="","",IF(I253&gt;=Ngưỡng!$B$5,1,0))</f>
        <v/>
      </c>
      <c r="R253" s="14" t="str">
        <f aca="false">IF(H253="","",IF(H253&lt;&gt;"Yên",1,0))</f>
        <v/>
      </c>
      <c r="S253" s="14" t="str">
        <f aca="false">IF(K253="","",IF(K253&gt;Ngưỡng!$B$6,1,0))</f>
        <v/>
      </c>
      <c r="T253" s="14" t="str">
        <f aca="false">IF(N253="","",IF(N253&gt;=Ngưỡng!$B$3,1,0))</f>
        <v/>
      </c>
      <c r="U253" s="14" t="n">
        <f aca="false">IF(I253=5,U252+1,0)</f>
        <v>0</v>
      </c>
      <c r="V253" s="14" t="n">
        <f aca="false">IF(AND(F253&lt;&gt;"",F253&gt;=2),V252+1,0)</f>
        <v>0</v>
      </c>
      <c r="W253" s="14" t="n">
        <f aca="false">IF(O253=0,W252+1,0)</f>
        <v>14</v>
      </c>
      <c r="X253" s="14" t="str">
        <f aca="false">IF(OR(E253="",F253=""),"",ROUND((10*(E253-1)+10*(2-MIN(F253,2)))/60*100,0))</f>
        <v/>
      </c>
    </row>
    <row r="254" customFormat="false" ht="15" hidden="false" customHeight="false" outlineLevel="0" collapsed="false">
      <c r="A254" s="4" t="s">
        <v>99</v>
      </c>
      <c r="B254" s="4" t="n">
        <v>1</v>
      </c>
      <c r="C254" s="4" t="n">
        <f aca="false">IF(B254&lt;=7,1,2)</f>
        <v>1</v>
      </c>
      <c r="D254" s="15"/>
      <c r="E254" s="15"/>
      <c r="F254" s="15"/>
      <c r="G254" s="15"/>
      <c r="H254" s="15"/>
      <c r="I254" s="15"/>
      <c r="J254" s="15"/>
      <c r="K254" s="16"/>
      <c r="L254" s="16"/>
      <c r="M254" s="15"/>
      <c r="N254" s="14" t="str">
        <f aca="false">IF(OR(E254="",F254="",G254=""),"",10*(E254-1)+10*(G254-1)+10*(2-MIN(F254,2)))</f>
        <v/>
      </c>
      <c r="O254" s="14" t="n">
        <f aca="false">IF(AND(N254&lt;&gt;"",I254&lt;&gt;""),1,0)</f>
        <v>0</v>
      </c>
      <c r="P254" s="14" t="str">
        <f aca="false">IF(N254="","",IF(N254&lt;Ngưỡng!$B$4,1,0))</f>
        <v/>
      </c>
      <c r="Q254" s="14" t="str">
        <f aca="false">IF(I254="","",IF(I254&gt;=Ngưỡng!$B$5,1,0))</f>
        <v/>
      </c>
      <c r="R254" s="14" t="str">
        <f aca="false">IF(H254="","",IF(H254&lt;&gt;"Yên",1,0))</f>
        <v/>
      </c>
      <c r="S254" s="14" t="str">
        <f aca="false">IF(K254="","",IF(K254&gt;Ngưỡng!$B$6,1,0))</f>
        <v/>
      </c>
      <c r="T254" s="14" t="str">
        <f aca="false">IF(N254="","",IF(N254&gt;=Ngưỡng!$B$3,1,0))</f>
        <v/>
      </c>
      <c r="U254" s="14" t="n">
        <f aca="false">IF(I254=5,0+1,0)</f>
        <v>0</v>
      </c>
      <c r="V254" s="14" t="n">
        <f aca="false">IF(AND(F254&lt;&gt;"",F254&gt;=2),0+1,0)</f>
        <v>0</v>
      </c>
      <c r="W254" s="14" t="n">
        <f aca="false">IF(O254=0,0+1,0)</f>
        <v>1</v>
      </c>
      <c r="X254" s="14" t="str">
        <f aca="false">IF(OR(E254="",F254=""),"",ROUND((10*(E254-1)+10*(2-MIN(F254,2)))/60*100,0))</f>
        <v/>
      </c>
    </row>
    <row r="255" customFormat="false" ht="15" hidden="false" customHeight="false" outlineLevel="0" collapsed="false">
      <c r="A255" s="4" t="s">
        <v>99</v>
      </c>
      <c r="B255" s="4" t="n">
        <v>2</v>
      </c>
      <c r="C255" s="4" t="n">
        <f aca="false">IF(B255&lt;=7,1,2)</f>
        <v>1</v>
      </c>
      <c r="D255" s="15"/>
      <c r="E255" s="15"/>
      <c r="F255" s="15"/>
      <c r="G255" s="15"/>
      <c r="H255" s="15"/>
      <c r="I255" s="15"/>
      <c r="J255" s="15"/>
      <c r="K255" s="16"/>
      <c r="L255" s="16"/>
      <c r="M255" s="15"/>
      <c r="N255" s="14" t="str">
        <f aca="false">IF(OR(E255="",F255="",G255=""),"",10*(E255-1)+10*(G255-1)+10*(2-MIN(F255,2)))</f>
        <v/>
      </c>
      <c r="O255" s="14" t="n">
        <f aca="false">IF(AND(N255&lt;&gt;"",I255&lt;&gt;""),1,0)</f>
        <v>0</v>
      </c>
      <c r="P255" s="14" t="str">
        <f aca="false">IF(N255="","",IF(N255&lt;Ngưỡng!$B$4,1,0))</f>
        <v/>
      </c>
      <c r="Q255" s="14" t="str">
        <f aca="false">IF(I255="","",IF(I255&gt;=Ngưỡng!$B$5,1,0))</f>
        <v/>
      </c>
      <c r="R255" s="14" t="str">
        <f aca="false">IF(H255="","",IF(H255&lt;&gt;"Yên",1,0))</f>
        <v/>
      </c>
      <c r="S255" s="14" t="str">
        <f aca="false">IF(K255="","",IF(K255&gt;Ngưỡng!$B$6,1,0))</f>
        <v/>
      </c>
      <c r="T255" s="14" t="str">
        <f aca="false">IF(N255="","",IF(N255&gt;=Ngưỡng!$B$3,1,0))</f>
        <v/>
      </c>
      <c r="U255" s="14" t="n">
        <f aca="false">IF(I255=5,U254+1,0)</f>
        <v>0</v>
      </c>
      <c r="V255" s="14" t="n">
        <f aca="false">IF(AND(F255&lt;&gt;"",F255&gt;=2),V254+1,0)</f>
        <v>0</v>
      </c>
      <c r="W255" s="14" t="n">
        <f aca="false">IF(O255=0,W254+1,0)</f>
        <v>2</v>
      </c>
      <c r="X255" s="14" t="str">
        <f aca="false">IF(OR(E255="",F255=""),"",ROUND((10*(E255-1)+10*(2-MIN(F255,2)))/60*100,0))</f>
        <v/>
      </c>
    </row>
    <row r="256" customFormat="false" ht="15" hidden="false" customHeight="false" outlineLevel="0" collapsed="false">
      <c r="A256" s="4" t="s">
        <v>99</v>
      </c>
      <c r="B256" s="4" t="n">
        <v>3</v>
      </c>
      <c r="C256" s="4" t="n">
        <f aca="false">IF(B256&lt;=7,1,2)</f>
        <v>1</v>
      </c>
      <c r="D256" s="15"/>
      <c r="E256" s="15"/>
      <c r="F256" s="15"/>
      <c r="G256" s="15"/>
      <c r="H256" s="15"/>
      <c r="I256" s="15"/>
      <c r="J256" s="15"/>
      <c r="K256" s="16"/>
      <c r="L256" s="16"/>
      <c r="M256" s="15"/>
      <c r="N256" s="14" t="str">
        <f aca="false">IF(OR(E256="",F256="",G256=""),"",10*(E256-1)+10*(G256-1)+10*(2-MIN(F256,2)))</f>
        <v/>
      </c>
      <c r="O256" s="14" t="n">
        <f aca="false">IF(AND(N256&lt;&gt;"",I256&lt;&gt;""),1,0)</f>
        <v>0</v>
      </c>
      <c r="P256" s="14" t="str">
        <f aca="false">IF(N256="","",IF(N256&lt;Ngưỡng!$B$4,1,0))</f>
        <v/>
      </c>
      <c r="Q256" s="14" t="str">
        <f aca="false">IF(I256="","",IF(I256&gt;=Ngưỡng!$B$5,1,0))</f>
        <v/>
      </c>
      <c r="R256" s="14" t="str">
        <f aca="false">IF(H256="","",IF(H256&lt;&gt;"Yên",1,0))</f>
        <v/>
      </c>
      <c r="S256" s="14" t="str">
        <f aca="false">IF(K256="","",IF(K256&gt;Ngưỡng!$B$6,1,0))</f>
        <v/>
      </c>
      <c r="T256" s="14" t="str">
        <f aca="false">IF(N256="","",IF(N256&gt;=Ngưỡng!$B$3,1,0))</f>
        <v/>
      </c>
      <c r="U256" s="14" t="n">
        <f aca="false">IF(I256=5,U255+1,0)</f>
        <v>0</v>
      </c>
      <c r="V256" s="14" t="n">
        <f aca="false">IF(AND(F256&lt;&gt;"",F256&gt;=2),V255+1,0)</f>
        <v>0</v>
      </c>
      <c r="W256" s="14" t="n">
        <f aca="false">IF(O256=0,W255+1,0)</f>
        <v>3</v>
      </c>
      <c r="X256" s="14" t="str">
        <f aca="false">IF(OR(E256="",F256=""),"",ROUND((10*(E256-1)+10*(2-MIN(F256,2)))/60*100,0))</f>
        <v/>
      </c>
    </row>
    <row r="257" customFormat="false" ht="15" hidden="false" customHeight="false" outlineLevel="0" collapsed="false">
      <c r="A257" s="4" t="s">
        <v>99</v>
      </c>
      <c r="B257" s="4" t="n">
        <v>4</v>
      </c>
      <c r="C257" s="4" t="n">
        <f aca="false">IF(B257&lt;=7,1,2)</f>
        <v>1</v>
      </c>
      <c r="D257" s="15"/>
      <c r="E257" s="15"/>
      <c r="F257" s="15"/>
      <c r="G257" s="15"/>
      <c r="H257" s="15"/>
      <c r="I257" s="15"/>
      <c r="J257" s="15"/>
      <c r="K257" s="16"/>
      <c r="L257" s="16"/>
      <c r="M257" s="15"/>
      <c r="N257" s="14" t="str">
        <f aca="false">IF(OR(E257="",F257="",G257=""),"",10*(E257-1)+10*(G257-1)+10*(2-MIN(F257,2)))</f>
        <v/>
      </c>
      <c r="O257" s="14" t="n">
        <f aca="false">IF(AND(N257&lt;&gt;"",I257&lt;&gt;""),1,0)</f>
        <v>0</v>
      </c>
      <c r="P257" s="14" t="str">
        <f aca="false">IF(N257="","",IF(N257&lt;Ngưỡng!$B$4,1,0))</f>
        <v/>
      </c>
      <c r="Q257" s="14" t="str">
        <f aca="false">IF(I257="","",IF(I257&gt;=Ngưỡng!$B$5,1,0))</f>
        <v/>
      </c>
      <c r="R257" s="14" t="str">
        <f aca="false">IF(H257="","",IF(H257&lt;&gt;"Yên",1,0))</f>
        <v/>
      </c>
      <c r="S257" s="14" t="str">
        <f aca="false">IF(K257="","",IF(K257&gt;Ngưỡng!$B$6,1,0))</f>
        <v/>
      </c>
      <c r="T257" s="14" t="str">
        <f aca="false">IF(N257="","",IF(N257&gt;=Ngưỡng!$B$3,1,0))</f>
        <v/>
      </c>
      <c r="U257" s="14" t="n">
        <f aca="false">IF(I257=5,U256+1,0)</f>
        <v>0</v>
      </c>
      <c r="V257" s="14" t="n">
        <f aca="false">IF(AND(F257&lt;&gt;"",F257&gt;=2),V256+1,0)</f>
        <v>0</v>
      </c>
      <c r="W257" s="14" t="n">
        <f aca="false">IF(O257=0,W256+1,0)</f>
        <v>4</v>
      </c>
      <c r="X257" s="14" t="str">
        <f aca="false">IF(OR(E257="",F257=""),"",ROUND((10*(E257-1)+10*(2-MIN(F257,2)))/60*100,0))</f>
        <v/>
      </c>
    </row>
    <row r="258" customFormat="false" ht="15" hidden="false" customHeight="false" outlineLevel="0" collapsed="false">
      <c r="A258" s="4" t="s">
        <v>99</v>
      </c>
      <c r="B258" s="4" t="n">
        <v>5</v>
      </c>
      <c r="C258" s="4" t="n">
        <f aca="false">IF(B258&lt;=7,1,2)</f>
        <v>1</v>
      </c>
      <c r="D258" s="15"/>
      <c r="E258" s="15"/>
      <c r="F258" s="15"/>
      <c r="G258" s="15"/>
      <c r="H258" s="15"/>
      <c r="I258" s="15"/>
      <c r="J258" s="15"/>
      <c r="K258" s="16"/>
      <c r="L258" s="16"/>
      <c r="M258" s="15"/>
      <c r="N258" s="14" t="str">
        <f aca="false">IF(OR(E258="",F258="",G258=""),"",10*(E258-1)+10*(G258-1)+10*(2-MIN(F258,2)))</f>
        <v/>
      </c>
      <c r="O258" s="14" t="n">
        <f aca="false">IF(AND(N258&lt;&gt;"",I258&lt;&gt;""),1,0)</f>
        <v>0</v>
      </c>
      <c r="P258" s="14" t="str">
        <f aca="false">IF(N258="","",IF(N258&lt;Ngưỡng!$B$4,1,0))</f>
        <v/>
      </c>
      <c r="Q258" s="14" t="str">
        <f aca="false">IF(I258="","",IF(I258&gt;=Ngưỡng!$B$5,1,0))</f>
        <v/>
      </c>
      <c r="R258" s="14" t="str">
        <f aca="false">IF(H258="","",IF(H258&lt;&gt;"Yên",1,0))</f>
        <v/>
      </c>
      <c r="S258" s="14" t="str">
        <f aca="false">IF(K258="","",IF(K258&gt;Ngưỡng!$B$6,1,0))</f>
        <v/>
      </c>
      <c r="T258" s="14" t="str">
        <f aca="false">IF(N258="","",IF(N258&gt;=Ngưỡng!$B$3,1,0))</f>
        <v/>
      </c>
      <c r="U258" s="14" t="n">
        <f aca="false">IF(I258=5,U257+1,0)</f>
        <v>0</v>
      </c>
      <c r="V258" s="14" t="n">
        <f aca="false">IF(AND(F258&lt;&gt;"",F258&gt;=2),V257+1,0)</f>
        <v>0</v>
      </c>
      <c r="W258" s="14" t="n">
        <f aca="false">IF(O258=0,W257+1,0)</f>
        <v>5</v>
      </c>
      <c r="X258" s="14" t="str">
        <f aca="false">IF(OR(E258="",F258=""),"",ROUND((10*(E258-1)+10*(2-MIN(F258,2)))/60*100,0))</f>
        <v/>
      </c>
    </row>
    <row r="259" customFormat="false" ht="15" hidden="false" customHeight="false" outlineLevel="0" collapsed="false">
      <c r="A259" s="4" t="s">
        <v>99</v>
      </c>
      <c r="B259" s="4" t="n">
        <v>6</v>
      </c>
      <c r="C259" s="4" t="n">
        <f aca="false">IF(B259&lt;=7,1,2)</f>
        <v>1</v>
      </c>
      <c r="D259" s="15"/>
      <c r="E259" s="15"/>
      <c r="F259" s="15"/>
      <c r="G259" s="15"/>
      <c r="H259" s="15"/>
      <c r="I259" s="15"/>
      <c r="J259" s="15"/>
      <c r="K259" s="16"/>
      <c r="L259" s="16"/>
      <c r="M259" s="15"/>
      <c r="N259" s="14" t="str">
        <f aca="false">IF(OR(E259="",F259="",G259=""),"",10*(E259-1)+10*(G259-1)+10*(2-MIN(F259,2)))</f>
        <v/>
      </c>
      <c r="O259" s="14" t="n">
        <f aca="false">IF(AND(N259&lt;&gt;"",I259&lt;&gt;""),1,0)</f>
        <v>0</v>
      </c>
      <c r="P259" s="14" t="str">
        <f aca="false">IF(N259="","",IF(N259&lt;Ngưỡng!$B$4,1,0))</f>
        <v/>
      </c>
      <c r="Q259" s="14" t="str">
        <f aca="false">IF(I259="","",IF(I259&gt;=Ngưỡng!$B$5,1,0))</f>
        <v/>
      </c>
      <c r="R259" s="14" t="str">
        <f aca="false">IF(H259="","",IF(H259&lt;&gt;"Yên",1,0))</f>
        <v/>
      </c>
      <c r="S259" s="14" t="str">
        <f aca="false">IF(K259="","",IF(K259&gt;Ngưỡng!$B$6,1,0))</f>
        <v/>
      </c>
      <c r="T259" s="14" t="str">
        <f aca="false">IF(N259="","",IF(N259&gt;=Ngưỡng!$B$3,1,0))</f>
        <v/>
      </c>
      <c r="U259" s="14" t="n">
        <f aca="false">IF(I259=5,U258+1,0)</f>
        <v>0</v>
      </c>
      <c r="V259" s="14" t="n">
        <f aca="false">IF(AND(F259&lt;&gt;"",F259&gt;=2),V258+1,0)</f>
        <v>0</v>
      </c>
      <c r="W259" s="14" t="n">
        <f aca="false">IF(O259=0,W258+1,0)</f>
        <v>6</v>
      </c>
      <c r="X259" s="14" t="str">
        <f aca="false">IF(OR(E259="",F259=""),"",ROUND((10*(E259-1)+10*(2-MIN(F259,2)))/60*100,0))</f>
        <v/>
      </c>
    </row>
    <row r="260" customFormat="false" ht="15" hidden="false" customHeight="false" outlineLevel="0" collapsed="false">
      <c r="A260" s="4" t="s">
        <v>99</v>
      </c>
      <c r="B260" s="4" t="n">
        <v>7</v>
      </c>
      <c r="C260" s="4" t="n">
        <f aca="false">IF(B260&lt;=7,1,2)</f>
        <v>1</v>
      </c>
      <c r="D260" s="15"/>
      <c r="E260" s="15"/>
      <c r="F260" s="15"/>
      <c r="G260" s="15"/>
      <c r="H260" s="15"/>
      <c r="I260" s="15"/>
      <c r="J260" s="15"/>
      <c r="K260" s="16"/>
      <c r="L260" s="16"/>
      <c r="M260" s="15"/>
      <c r="N260" s="14" t="str">
        <f aca="false">IF(OR(E260="",F260="",G260=""),"",10*(E260-1)+10*(G260-1)+10*(2-MIN(F260,2)))</f>
        <v/>
      </c>
      <c r="O260" s="14" t="n">
        <f aca="false">IF(AND(N260&lt;&gt;"",I260&lt;&gt;""),1,0)</f>
        <v>0</v>
      </c>
      <c r="P260" s="14" t="str">
        <f aca="false">IF(N260="","",IF(N260&lt;Ngưỡng!$B$4,1,0))</f>
        <v/>
      </c>
      <c r="Q260" s="14" t="str">
        <f aca="false">IF(I260="","",IF(I260&gt;=Ngưỡng!$B$5,1,0))</f>
        <v/>
      </c>
      <c r="R260" s="14" t="str">
        <f aca="false">IF(H260="","",IF(H260&lt;&gt;"Yên",1,0))</f>
        <v/>
      </c>
      <c r="S260" s="14" t="str">
        <f aca="false">IF(K260="","",IF(K260&gt;Ngưỡng!$B$6,1,0))</f>
        <v/>
      </c>
      <c r="T260" s="14" t="str">
        <f aca="false">IF(N260="","",IF(N260&gt;=Ngưỡng!$B$3,1,0))</f>
        <v/>
      </c>
      <c r="U260" s="14" t="n">
        <f aca="false">IF(I260=5,U259+1,0)</f>
        <v>0</v>
      </c>
      <c r="V260" s="14" t="n">
        <f aca="false">IF(AND(F260&lt;&gt;"",F260&gt;=2),V259+1,0)</f>
        <v>0</v>
      </c>
      <c r="W260" s="14" t="n">
        <f aca="false">IF(O260=0,W259+1,0)</f>
        <v>7</v>
      </c>
      <c r="X260" s="14" t="str">
        <f aca="false">IF(OR(E260="",F260=""),"",ROUND((10*(E260-1)+10*(2-MIN(F260,2)))/60*100,0))</f>
        <v/>
      </c>
    </row>
    <row r="261" customFormat="false" ht="15" hidden="false" customHeight="false" outlineLevel="0" collapsed="false">
      <c r="A261" s="4" t="s">
        <v>99</v>
      </c>
      <c r="B261" s="4" t="n">
        <v>8</v>
      </c>
      <c r="C261" s="4" t="n">
        <f aca="false">IF(B261&lt;=7,1,2)</f>
        <v>2</v>
      </c>
      <c r="D261" s="15"/>
      <c r="E261" s="15"/>
      <c r="F261" s="15"/>
      <c r="G261" s="15"/>
      <c r="H261" s="15"/>
      <c r="I261" s="15"/>
      <c r="J261" s="15"/>
      <c r="K261" s="16"/>
      <c r="L261" s="16"/>
      <c r="M261" s="15"/>
      <c r="N261" s="14" t="str">
        <f aca="false">IF(OR(E261="",F261="",G261=""),"",10*(E261-1)+10*(G261-1)+10*(2-MIN(F261,2)))</f>
        <v/>
      </c>
      <c r="O261" s="14" t="n">
        <f aca="false">IF(AND(N261&lt;&gt;"",I261&lt;&gt;""),1,0)</f>
        <v>0</v>
      </c>
      <c r="P261" s="14" t="str">
        <f aca="false">IF(N261="","",IF(N261&lt;Ngưỡng!$B$4,1,0))</f>
        <v/>
      </c>
      <c r="Q261" s="14" t="str">
        <f aca="false">IF(I261="","",IF(I261&gt;=Ngưỡng!$B$5,1,0))</f>
        <v/>
      </c>
      <c r="R261" s="14" t="str">
        <f aca="false">IF(H261="","",IF(H261&lt;&gt;"Yên",1,0))</f>
        <v/>
      </c>
      <c r="S261" s="14" t="str">
        <f aca="false">IF(K261="","",IF(K261&gt;Ngưỡng!$B$6,1,0))</f>
        <v/>
      </c>
      <c r="T261" s="14" t="str">
        <f aca="false">IF(N261="","",IF(N261&gt;=Ngưỡng!$B$3,1,0))</f>
        <v/>
      </c>
      <c r="U261" s="14" t="n">
        <f aca="false">IF(I261=5,U260+1,0)</f>
        <v>0</v>
      </c>
      <c r="V261" s="14" t="n">
        <f aca="false">IF(AND(F261&lt;&gt;"",F261&gt;=2),V260+1,0)</f>
        <v>0</v>
      </c>
      <c r="W261" s="14" t="n">
        <f aca="false">IF(O261=0,W260+1,0)</f>
        <v>8</v>
      </c>
      <c r="X261" s="14" t="str">
        <f aca="false">IF(OR(E261="",F261=""),"",ROUND((10*(E261-1)+10*(2-MIN(F261,2)))/60*100,0))</f>
        <v/>
      </c>
    </row>
    <row r="262" customFormat="false" ht="15" hidden="false" customHeight="false" outlineLevel="0" collapsed="false">
      <c r="A262" s="4" t="s">
        <v>99</v>
      </c>
      <c r="B262" s="4" t="n">
        <v>9</v>
      </c>
      <c r="C262" s="4" t="n">
        <f aca="false">IF(B262&lt;=7,1,2)</f>
        <v>2</v>
      </c>
      <c r="D262" s="15"/>
      <c r="E262" s="15"/>
      <c r="F262" s="15"/>
      <c r="G262" s="15"/>
      <c r="H262" s="15"/>
      <c r="I262" s="15"/>
      <c r="J262" s="15"/>
      <c r="K262" s="16"/>
      <c r="L262" s="16"/>
      <c r="M262" s="15"/>
      <c r="N262" s="14" t="str">
        <f aca="false">IF(OR(E262="",F262="",G262=""),"",10*(E262-1)+10*(G262-1)+10*(2-MIN(F262,2)))</f>
        <v/>
      </c>
      <c r="O262" s="14" t="n">
        <f aca="false">IF(AND(N262&lt;&gt;"",I262&lt;&gt;""),1,0)</f>
        <v>0</v>
      </c>
      <c r="P262" s="14" t="str">
        <f aca="false">IF(N262="","",IF(N262&lt;Ngưỡng!$B$4,1,0))</f>
        <v/>
      </c>
      <c r="Q262" s="14" t="str">
        <f aca="false">IF(I262="","",IF(I262&gt;=Ngưỡng!$B$5,1,0))</f>
        <v/>
      </c>
      <c r="R262" s="14" t="str">
        <f aca="false">IF(H262="","",IF(H262&lt;&gt;"Yên",1,0))</f>
        <v/>
      </c>
      <c r="S262" s="14" t="str">
        <f aca="false">IF(K262="","",IF(K262&gt;Ngưỡng!$B$6,1,0))</f>
        <v/>
      </c>
      <c r="T262" s="14" t="str">
        <f aca="false">IF(N262="","",IF(N262&gt;=Ngưỡng!$B$3,1,0))</f>
        <v/>
      </c>
      <c r="U262" s="14" t="n">
        <f aca="false">IF(I262=5,U261+1,0)</f>
        <v>0</v>
      </c>
      <c r="V262" s="14" t="n">
        <f aca="false">IF(AND(F262&lt;&gt;"",F262&gt;=2),V261+1,0)</f>
        <v>0</v>
      </c>
      <c r="W262" s="14" t="n">
        <f aca="false">IF(O262=0,W261+1,0)</f>
        <v>9</v>
      </c>
      <c r="X262" s="14" t="str">
        <f aca="false">IF(OR(E262="",F262=""),"",ROUND((10*(E262-1)+10*(2-MIN(F262,2)))/60*100,0))</f>
        <v/>
      </c>
    </row>
    <row r="263" customFormat="false" ht="15" hidden="false" customHeight="false" outlineLevel="0" collapsed="false">
      <c r="A263" s="4" t="s">
        <v>99</v>
      </c>
      <c r="B263" s="4" t="n">
        <v>10</v>
      </c>
      <c r="C263" s="4" t="n">
        <f aca="false">IF(B263&lt;=7,1,2)</f>
        <v>2</v>
      </c>
      <c r="D263" s="15"/>
      <c r="E263" s="15"/>
      <c r="F263" s="15"/>
      <c r="G263" s="15"/>
      <c r="H263" s="15"/>
      <c r="I263" s="15"/>
      <c r="J263" s="15"/>
      <c r="K263" s="16"/>
      <c r="L263" s="16"/>
      <c r="M263" s="15"/>
      <c r="N263" s="14" t="str">
        <f aca="false">IF(OR(E263="",F263="",G263=""),"",10*(E263-1)+10*(G263-1)+10*(2-MIN(F263,2)))</f>
        <v/>
      </c>
      <c r="O263" s="14" t="n">
        <f aca="false">IF(AND(N263&lt;&gt;"",I263&lt;&gt;""),1,0)</f>
        <v>0</v>
      </c>
      <c r="P263" s="14" t="str">
        <f aca="false">IF(N263="","",IF(N263&lt;Ngưỡng!$B$4,1,0))</f>
        <v/>
      </c>
      <c r="Q263" s="14" t="str">
        <f aca="false">IF(I263="","",IF(I263&gt;=Ngưỡng!$B$5,1,0))</f>
        <v/>
      </c>
      <c r="R263" s="14" t="str">
        <f aca="false">IF(H263="","",IF(H263&lt;&gt;"Yên",1,0))</f>
        <v/>
      </c>
      <c r="S263" s="14" t="str">
        <f aca="false">IF(K263="","",IF(K263&gt;Ngưỡng!$B$6,1,0))</f>
        <v/>
      </c>
      <c r="T263" s="14" t="str">
        <f aca="false">IF(N263="","",IF(N263&gt;=Ngưỡng!$B$3,1,0))</f>
        <v/>
      </c>
      <c r="U263" s="14" t="n">
        <f aca="false">IF(I263=5,U262+1,0)</f>
        <v>0</v>
      </c>
      <c r="V263" s="14" t="n">
        <f aca="false">IF(AND(F263&lt;&gt;"",F263&gt;=2),V262+1,0)</f>
        <v>0</v>
      </c>
      <c r="W263" s="14" t="n">
        <f aca="false">IF(O263=0,W262+1,0)</f>
        <v>10</v>
      </c>
      <c r="X263" s="14" t="str">
        <f aca="false">IF(OR(E263="",F263=""),"",ROUND((10*(E263-1)+10*(2-MIN(F263,2)))/60*100,0))</f>
        <v/>
      </c>
    </row>
    <row r="264" customFormat="false" ht="15" hidden="false" customHeight="false" outlineLevel="0" collapsed="false">
      <c r="A264" s="4" t="s">
        <v>99</v>
      </c>
      <c r="B264" s="4" t="n">
        <v>11</v>
      </c>
      <c r="C264" s="4" t="n">
        <f aca="false">IF(B264&lt;=7,1,2)</f>
        <v>2</v>
      </c>
      <c r="D264" s="15"/>
      <c r="E264" s="15"/>
      <c r="F264" s="15"/>
      <c r="G264" s="15"/>
      <c r="H264" s="15"/>
      <c r="I264" s="15"/>
      <c r="J264" s="15"/>
      <c r="K264" s="16"/>
      <c r="L264" s="16"/>
      <c r="M264" s="15"/>
      <c r="N264" s="14" t="str">
        <f aca="false">IF(OR(E264="",F264="",G264=""),"",10*(E264-1)+10*(G264-1)+10*(2-MIN(F264,2)))</f>
        <v/>
      </c>
      <c r="O264" s="14" t="n">
        <f aca="false">IF(AND(N264&lt;&gt;"",I264&lt;&gt;""),1,0)</f>
        <v>0</v>
      </c>
      <c r="P264" s="14" t="str">
        <f aca="false">IF(N264="","",IF(N264&lt;Ngưỡng!$B$4,1,0))</f>
        <v/>
      </c>
      <c r="Q264" s="14" t="str">
        <f aca="false">IF(I264="","",IF(I264&gt;=Ngưỡng!$B$5,1,0))</f>
        <v/>
      </c>
      <c r="R264" s="14" t="str">
        <f aca="false">IF(H264="","",IF(H264&lt;&gt;"Yên",1,0))</f>
        <v/>
      </c>
      <c r="S264" s="14" t="str">
        <f aca="false">IF(K264="","",IF(K264&gt;Ngưỡng!$B$6,1,0))</f>
        <v/>
      </c>
      <c r="T264" s="14" t="str">
        <f aca="false">IF(N264="","",IF(N264&gt;=Ngưỡng!$B$3,1,0))</f>
        <v/>
      </c>
      <c r="U264" s="14" t="n">
        <f aca="false">IF(I264=5,U263+1,0)</f>
        <v>0</v>
      </c>
      <c r="V264" s="14" t="n">
        <f aca="false">IF(AND(F264&lt;&gt;"",F264&gt;=2),V263+1,0)</f>
        <v>0</v>
      </c>
      <c r="W264" s="14" t="n">
        <f aca="false">IF(O264=0,W263+1,0)</f>
        <v>11</v>
      </c>
      <c r="X264" s="14" t="str">
        <f aca="false">IF(OR(E264="",F264=""),"",ROUND((10*(E264-1)+10*(2-MIN(F264,2)))/60*100,0))</f>
        <v/>
      </c>
    </row>
    <row r="265" customFormat="false" ht="15" hidden="false" customHeight="false" outlineLevel="0" collapsed="false">
      <c r="A265" s="4" t="s">
        <v>99</v>
      </c>
      <c r="B265" s="4" t="n">
        <v>12</v>
      </c>
      <c r="C265" s="4" t="n">
        <f aca="false">IF(B265&lt;=7,1,2)</f>
        <v>2</v>
      </c>
      <c r="D265" s="15"/>
      <c r="E265" s="15"/>
      <c r="F265" s="15"/>
      <c r="G265" s="15"/>
      <c r="H265" s="15"/>
      <c r="I265" s="15"/>
      <c r="J265" s="15"/>
      <c r="K265" s="16"/>
      <c r="L265" s="16"/>
      <c r="M265" s="15"/>
      <c r="N265" s="14" t="str">
        <f aca="false">IF(OR(E265="",F265="",G265=""),"",10*(E265-1)+10*(G265-1)+10*(2-MIN(F265,2)))</f>
        <v/>
      </c>
      <c r="O265" s="14" t="n">
        <f aca="false">IF(AND(N265&lt;&gt;"",I265&lt;&gt;""),1,0)</f>
        <v>0</v>
      </c>
      <c r="P265" s="14" t="str">
        <f aca="false">IF(N265="","",IF(N265&lt;Ngưỡng!$B$4,1,0))</f>
        <v/>
      </c>
      <c r="Q265" s="14" t="str">
        <f aca="false">IF(I265="","",IF(I265&gt;=Ngưỡng!$B$5,1,0))</f>
        <v/>
      </c>
      <c r="R265" s="14" t="str">
        <f aca="false">IF(H265="","",IF(H265&lt;&gt;"Yên",1,0))</f>
        <v/>
      </c>
      <c r="S265" s="14" t="str">
        <f aca="false">IF(K265="","",IF(K265&gt;Ngưỡng!$B$6,1,0))</f>
        <v/>
      </c>
      <c r="T265" s="14" t="str">
        <f aca="false">IF(N265="","",IF(N265&gt;=Ngưỡng!$B$3,1,0))</f>
        <v/>
      </c>
      <c r="U265" s="14" t="n">
        <f aca="false">IF(I265=5,U264+1,0)</f>
        <v>0</v>
      </c>
      <c r="V265" s="14" t="n">
        <f aca="false">IF(AND(F265&lt;&gt;"",F265&gt;=2),V264+1,0)</f>
        <v>0</v>
      </c>
      <c r="W265" s="14" t="n">
        <f aca="false">IF(O265=0,W264+1,0)</f>
        <v>12</v>
      </c>
      <c r="X265" s="14" t="str">
        <f aca="false">IF(OR(E265="",F265=""),"",ROUND((10*(E265-1)+10*(2-MIN(F265,2)))/60*100,0))</f>
        <v/>
      </c>
    </row>
    <row r="266" customFormat="false" ht="15" hidden="false" customHeight="false" outlineLevel="0" collapsed="false">
      <c r="A266" s="4" t="s">
        <v>99</v>
      </c>
      <c r="B266" s="4" t="n">
        <v>13</v>
      </c>
      <c r="C266" s="4" t="n">
        <f aca="false">IF(B266&lt;=7,1,2)</f>
        <v>2</v>
      </c>
      <c r="D266" s="15"/>
      <c r="E266" s="15"/>
      <c r="F266" s="15"/>
      <c r="G266" s="15"/>
      <c r="H266" s="15"/>
      <c r="I266" s="15"/>
      <c r="J266" s="15"/>
      <c r="K266" s="16"/>
      <c r="L266" s="16"/>
      <c r="M266" s="15"/>
      <c r="N266" s="14" t="str">
        <f aca="false">IF(OR(E266="",F266="",G266=""),"",10*(E266-1)+10*(G266-1)+10*(2-MIN(F266,2)))</f>
        <v/>
      </c>
      <c r="O266" s="14" t="n">
        <f aca="false">IF(AND(N266&lt;&gt;"",I266&lt;&gt;""),1,0)</f>
        <v>0</v>
      </c>
      <c r="P266" s="14" t="str">
        <f aca="false">IF(N266="","",IF(N266&lt;Ngưỡng!$B$4,1,0))</f>
        <v/>
      </c>
      <c r="Q266" s="14" t="str">
        <f aca="false">IF(I266="","",IF(I266&gt;=Ngưỡng!$B$5,1,0))</f>
        <v/>
      </c>
      <c r="R266" s="14" t="str">
        <f aca="false">IF(H266="","",IF(H266&lt;&gt;"Yên",1,0))</f>
        <v/>
      </c>
      <c r="S266" s="14" t="str">
        <f aca="false">IF(K266="","",IF(K266&gt;Ngưỡng!$B$6,1,0))</f>
        <v/>
      </c>
      <c r="T266" s="14" t="str">
        <f aca="false">IF(N266="","",IF(N266&gt;=Ngưỡng!$B$3,1,0))</f>
        <v/>
      </c>
      <c r="U266" s="14" t="n">
        <f aca="false">IF(I266=5,U265+1,0)</f>
        <v>0</v>
      </c>
      <c r="V266" s="14" t="n">
        <f aca="false">IF(AND(F266&lt;&gt;"",F266&gt;=2),V265+1,0)</f>
        <v>0</v>
      </c>
      <c r="W266" s="14" t="n">
        <f aca="false">IF(O266=0,W265+1,0)</f>
        <v>13</v>
      </c>
      <c r="X266" s="14" t="str">
        <f aca="false">IF(OR(E266="",F266=""),"",ROUND((10*(E266-1)+10*(2-MIN(F266,2)))/60*100,0))</f>
        <v/>
      </c>
    </row>
    <row r="267" customFormat="false" ht="15" hidden="false" customHeight="false" outlineLevel="0" collapsed="false">
      <c r="A267" s="4" t="s">
        <v>99</v>
      </c>
      <c r="B267" s="4" t="n">
        <v>14</v>
      </c>
      <c r="C267" s="4" t="n">
        <f aca="false">IF(B267&lt;=7,1,2)</f>
        <v>2</v>
      </c>
      <c r="D267" s="15"/>
      <c r="E267" s="15"/>
      <c r="F267" s="15"/>
      <c r="G267" s="15"/>
      <c r="H267" s="15"/>
      <c r="I267" s="15"/>
      <c r="J267" s="15"/>
      <c r="K267" s="16"/>
      <c r="L267" s="16"/>
      <c r="M267" s="15"/>
      <c r="N267" s="14" t="str">
        <f aca="false">IF(OR(E267="",F267="",G267=""),"",10*(E267-1)+10*(G267-1)+10*(2-MIN(F267,2)))</f>
        <v/>
      </c>
      <c r="O267" s="14" t="n">
        <f aca="false">IF(AND(N267&lt;&gt;"",I267&lt;&gt;""),1,0)</f>
        <v>0</v>
      </c>
      <c r="P267" s="14" t="str">
        <f aca="false">IF(N267="","",IF(N267&lt;Ngưỡng!$B$4,1,0))</f>
        <v/>
      </c>
      <c r="Q267" s="14" t="str">
        <f aca="false">IF(I267="","",IF(I267&gt;=Ngưỡng!$B$5,1,0))</f>
        <v/>
      </c>
      <c r="R267" s="14" t="str">
        <f aca="false">IF(H267="","",IF(H267&lt;&gt;"Yên",1,0))</f>
        <v/>
      </c>
      <c r="S267" s="14" t="str">
        <f aca="false">IF(K267="","",IF(K267&gt;Ngưỡng!$B$6,1,0))</f>
        <v/>
      </c>
      <c r="T267" s="14" t="str">
        <f aca="false">IF(N267="","",IF(N267&gt;=Ngưỡng!$B$3,1,0))</f>
        <v/>
      </c>
      <c r="U267" s="14" t="n">
        <f aca="false">IF(I267=5,U266+1,0)</f>
        <v>0</v>
      </c>
      <c r="V267" s="14" t="n">
        <f aca="false">IF(AND(F267&lt;&gt;"",F267&gt;=2),V266+1,0)</f>
        <v>0</v>
      </c>
      <c r="W267" s="14" t="n">
        <f aca="false">IF(O267=0,W266+1,0)</f>
        <v>14</v>
      </c>
      <c r="X267" s="14" t="str">
        <f aca="false">IF(OR(E267="",F267=""),"",ROUND((10*(E267-1)+10*(2-MIN(F267,2)))/60*100,0))</f>
        <v/>
      </c>
    </row>
    <row r="268" customFormat="false" ht="15" hidden="false" customHeight="false" outlineLevel="0" collapsed="false">
      <c r="A268" s="4" t="s">
        <v>100</v>
      </c>
      <c r="B268" s="4" t="n">
        <v>1</v>
      </c>
      <c r="C268" s="4" t="n">
        <f aca="false">IF(B268&lt;=7,1,2)</f>
        <v>1</v>
      </c>
      <c r="D268" s="15"/>
      <c r="E268" s="15"/>
      <c r="F268" s="15"/>
      <c r="G268" s="15"/>
      <c r="H268" s="15"/>
      <c r="I268" s="15"/>
      <c r="J268" s="15"/>
      <c r="K268" s="16"/>
      <c r="L268" s="16"/>
      <c r="M268" s="15"/>
      <c r="N268" s="14" t="str">
        <f aca="false">IF(OR(E268="",F268="",G268=""),"",10*(E268-1)+10*(G268-1)+10*(2-MIN(F268,2)))</f>
        <v/>
      </c>
      <c r="O268" s="14" t="n">
        <f aca="false">IF(AND(N268&lt;&gt;"",I268&lt;&gt;""),1,0)</f>
        <v>0</v>
      </c>
      <c r="P268" s="14" t="str">
        <f aca="false">IF(N268="","",IF(N268&lt;Ngưỡng!$B$4,1,0))</f>
        <v/>
      </c>
      <c r="Q268" s="14" t="str">
        <f aca="false">IF(I268="","",IF(I268&gt;=Ngưỡng!$B$5,1,0))</f>
        <v/>
      </c>
      <c r="R268" s="14" t="str">
        <f aca="false">IF(H268="","",IF(H268&lt;&gt;"Yên",1,0))</f>
        <v/>
      </c>
      <c r="S268" s="14" t="str">
        <f aca="false">IF(K268="","",IF(K268&gt;Ngưỡng!$B$6,1,0))</f>
        <v/>
      </c>
      <c r="T268" s="14" t="str">
        <f aca="false">IF(N268="","",IF(N268&gt;=Ngưỡng!$B$3,1,0))</f>
        <v/>
      </c>
      <c r="U268" s="14" t="n">
        <f aca="false">IF(I268=5,0+1,0)</f>
        <v>0</v>
      </c>
      <c r="V268" s="14" t="n">
        <f aca="false">IF(AND(F268&lt;&gt;"",F268&gt;=2),0+1,0)</f>
        <v>0</v>
      </c>
      <c r="W268" s="14" t="n">
        <f aca="false">IF(O268=0,0+1,0)</f>
        <v>1</v>
      </c>
      <c r="X268" s="14" t="str">
        <f aca="false">IF(OR(E268="",F268=""),"",ROUND((10*(E268-1)+10*(2-MIN(F268,2)))/60*100,0))</f>
        <v/>
      </c>
    </row>
    <row r="269" customFormat="false" ht="15" hidden="false" customHeight="false" outlineLevel="0" collapsed="false">
      <c r="A269" s="4" t="s">
        <v>100</v>
      </c>
      <c r="B269" s="4" t="n">
        <v>2</v>
      </c>
      <c r="C269" s="4" t="n">
        <f aca="false">IF(B269&lt;=7,1,2)</f>
        <v>1</v>
      </c>
      <c r="D269" s="15"/>
      <c r="E269" s="15"/>
      <c r="F269" s="15"/>
      <c r="G269" s="15"/>
      <c r="H269" s="15"/>
      <c r="I269" s="15"/>
      <c r="J269" s="15"/>
      <c r="K269" s="16"/>
      <c r="L269" s="16"/>
      <c r="M269" s="15"/>
      <c r="N269" s="14" t="str">
        <f aca="false">IF(OR(E269="",F269="",G269=""),"",10*(E269-1)+10*(G269-1)+10*(2-MIN(F269,2)))</f>
        <v/>
      </c>
      <c r="O269" s="14" t="n">
        <f aca="false">IF(AND(N269&lt;&gt;"",I269&lt;&gt;""),1,0)</f>
        <v>0</v>
      </c>
      <c r="P269" s="14" t="str">
        <f aca="false">IF(N269="","",IF(N269&lt;Ngưỡng!$B$4,1,0))</f>
        <v/>
      </c>
      <c r="Q269" s="14" t="str">
        <f aca="false">IF(I269="","",IF(I269&gt;=Ngưỡng!$B$5,1,0))</f>
        <v/>
      </c>
      <c r="R269" s="14" t="str">
        <f aca="false">IF(H269="","",IF(H269&lt;&gt;"Yên",1,0))</f>
        <v/>
      </c>
      <c r="S269" s="14" t="str">
        <f aca="false">IF(K269="","",IF(K269&gt;Ngưỡng!$B$6,1,0))</f>
        <v/>
      </c>
      <c r="T269" s="14" t="str">
        <f aca="false">IF(N269="","",IF(N269&gt;=Ngưỡng!$B$3,1,0))</f>
        <v/>
      </c>
      <c r="U269" s="14" t="n">
        <f aca="false">IF(I269=5,U268+1,0)</f>
        <v>0</v>
      </c>
      <c r="V269" s="14" t="n">
        <f aca="false">IF(AND(F269&lt;&gt;"",F269&gt;=2),V268+1,0)</f>
        <v>0</v>
      </c>
      <c r="W269" s="14" t="n">
        <f aca="false">IF(O269=0,W268+1,0)</f>
        <v>2</v>
      </c>
      <c r="X269" s="14" t="str">
        <f aca="false">IF(OR(E269="",F269=""),"",ROUND((10*(E269-1)+10*(2-MIN(F269,2)))/60*100,0))</f>
        <v/>
      </c>
    </row>
    <row r="270" customFormat="false" ht="15" hidden="false" customHeight="false" outlineLevel="0" collapsed="false">
      <c r="A270" s="4" t="s">
        <v>100</v>
      </c>
      <c r="B270" s="4" t="n">
        <v>3</v>
      </c>
      <c r="C270" s="4" t="n">
        <f aca="false">IF(B270&lt;=7,1,2)</f>
        <v>1</v>
      </c>
      <c r="D270" s="15"/>
      <c r="E270" s="15"/>
      <c r="F270" s="15"/>
      <c r="G270" s="15"/>
      <c r="H270" s="15"/>
      <c r="I270" s="15"/>
      <c r="J270" s="15"/>
      <c r="K270" s="16"/>
      <c r="L270" s="16"/>
      <c r="M270" s="15"/>
      <c r="N270" s="14" t="str">
        <f aca="false">IF(OR(E270="",F270="",G270=""),"",10*(E270-1)+10*(G270-1)+10*(2-MIN(F270,2)))</f>
        <v/>
      </c>
      <c r="O270" s="14" t="n">
        <f aca="false">IF(AND(N270&lt;&gt;"",I270&lt;&gt;""),1,0)</f>
        <v>0</v>
      </c>
      <c r="P270" s="14" t="str">
        <f aca="false">IF(N270="","",IF(N270&lt;Ngưỡng!$B$4,1,0))</f>
        <v/>
      </c>
      <c r="Q270" s="14" t="str">
        <f aca="false">IF(I270="","",IF(I270&gt;=Ngưỡng!$B$5,1,0))</f>
        <v/>
      </c>
      <c r="R270" s="14" t="str">
        <f aca="false">IF(H270="","",IF(H270&lt;&gt;"Yên",1,0))</f>
        <v/>
      </c>
      <c r="S270" s="14" t="str">
        <f aca="false">IF(K270="","",IF(K270&gt;Ngưỡng!$B$6,1,0))</f>
        <v/>
      </c>
      <c r="T270" s="14" t="str">
        <f aca="false">IF(N270="","",IF(N270&gt;=Ngưỡng!$B$3,1,0))</f>
        <v/>
      </c>
      <c r="U270" s="14" t="n">
        <f aca="false">IF(I270=5,U269+1,0)</f>
        <v>0</v>
      </c>
      <c r="V270" s="14" t="n">
        <f aca="false">IF(AND(F270&lt;&gt;"",F270&gt;=2),V269+1,0)</f>
        <v>0</v>
      </c>
      <c r="W270" s="14" t="n">
        <f aca="false">IF(O270=0,W269+1,0)</f>
        <v>3</v>
      </c>
      <c r="X270" s="14" t="str">
        <f aca="false">IF(OR(E270="",F270=""),"",ROUND((10*(E270-1)+10*(2-MIN(F270,2)))/60*100,0))</f>
        <v/>
      </c>
    </row>
    <row r="271" customFormat="false" ht="15" hidden="false" customHeight="false" outlineLevel="0" collapsed="false">
      <c r="A271" s="4" t="s">
        <v>100</v>
      </c>
      <c r="B271" s="4" t="n">
        <v>4</v>
      </c>
      <c r="C271" s="4" t="n">
        <f aca="false">IF(B271&lt;=7,1,2)</f>
        <v>1</v>
      </c>
      <c r="D271" s="15"/>
      <c r="E271" s="15"/>
      <c r="F271" s="15"/>
      <c r="G271" s="15"/>
      <c r="H271" s="15"/>
      <c r="I271" s="15"/>
      <c r="J271" s="15"/>
      <c r="K271" s="16"/>
      <c r="L271" s="16"/>
      <c r="M271" s="15"/>
      <c r="N271" s="14" t="str">
        <f aca="false">IF(OR(E271="",F271="",G271=""),"",10*(E271-1)+10*(G271-1)+10*(2-MIN(F271,2)))</f>
        <v/>
      </c>
      <c r="O271" s="14" t="n">
        <f aca="false">IF(AND(N271&lt;&gt;"",I271&lt;&gt;""),1,0)</f>
        <v>0</v>
      </c>
      <c r="P271" s="14" t="str">
        <f aca="false">IF(N271="","",IF(N271&lt;Ngưỡng!$B$4,1,0))</f>
        <v/>
      </c>
      <c r="Q271" s="14" t="str">
        <f aca="false">IF(I271="","",IF(I271&gt;=Ngưỡng!$B$5,1,0))</f>
        <v/>
      </c>
      <c r="R271" s="14" t="str">
        <f aca="false">IF(H271="","",IF(H271&lt;&gt;"Yên",1,0))</f>
        <v/>
      </c>
      <c r="S271" s="14" t="str">
        <f aca="false">IF(K271="","",IF(K271&gt;Ngưỡng!$B$6,1,0))</f>
        <v/>
      </c>
      <c r="T271" s="14" t="str">
        <f aca="false">IF(N271="","",IF(N271&gt;=Ngưỡng!$B$3,1,0))</f>
        <v/>
      </c>
      <c r="U271" s="14" t="n">
        <f aca="false">IF(I271=5,U270+1,0)</f>
        <v>0</v>
      </c>
      <c r="V271" s="14" t="n">
        <f aca="false">IF(AND(F271&lt;&gt;"",F271&gt;=2),V270+1,0)</f>
        <v>0</v>
      </c>
      <c r="W271" s="14" t="n">
        <f aca="false">IF(O271=0,W270+1,0)</f>
        <v>4</v>
      </c>
      <c r="X271" s="14" t="str">
        <f aca="false">IF(OR(E271="",F271=""),"",ROUND((10*(E271-1)+10*(2-MIN(F271,2)))/60*100,0))</f>
        <v/>
      </c>
    </row>
    <row r="272" customFormat="false" ht="15" hidden="false" customHeight="false" outlineLevel="0" collapsed="false">
      <c r="A272" s="4" t="s">
        <v>100</v>
      </c>
      <c r="B272" s="4" t="n">
        <v>5</v>
      </c>
      <c r="C272" s="4" t="n">
        <f aca="false">IF(B272&lt;=7,1,2)</f>
        <v>1</v>
      </c>
      <c r="D272" s="15"/>
      <c r="E272" s="15"/>
      <c r="F272" s="15"/>
      <c r="G272" s="15"/>
      <c r="H272" s="15"/>
      <c r="I272" s="15"/>
      <c r="J272" s="15"/>
      <c r="K272" s="16"/>
      <c r="L272" s="16"/>
      <c r="M272" s="15"/>
      <c r="N272" s="14" t="str">
        <f aca="false">IF(OR(E272="",F272="",G272=""),"",10*(E272-1)+10*(G272-1)+10*(2-MIN(F272,2)))</f>
        <v/>
      </c>
      <c r="O272" s="14" t="n">
        <f aca="false">IF(AND(N272&lt;&gt;"",I272&lt;&gt;""),1,0)</f>
        <v>0</v>
      </c>
      <c r="P272" s="14" t="str">
        <f aca="false">IF(N272="","",IF(N272&lt;Ngưỡng!$B$4,1,0))</f>
        <v/>
      </c>
      <c r="Q272" s="14" t="str">
        <f aca="false">IF(I272="","",IF(I272&gt;=Ngưỡng!$B$5,1,0))</f>
        <v/>
      </c>
      <c r="R272" s="14" t="str">
        <f aca="false">IF(H272="","",IF(H272&lt;&gt;"Yên",1,0))</f>
        <v/>
      </c>
      <c r="S272" s="14" t="str">
        <f aca="false">IF(K272="","",IF(K272&gt;Ngưỡng!$B$6,1,0))</f>
        <v/>
      </c>
      <c r="T272" s="14" t="str">
        <f aca="false">IF(N272="","",IF(N272&gt;=Ngưỡng!$B$3,1,0))</f>
        <v/>
      </c>
      <c r="U272" s="14" t="n">
        <f aca="false">IF(I272=5,U271+1,0)</f>
        <v>0</v>
      </c>
      <c r="V272" s="14" t="n">
        <f aca="false">IF(AND(F272&lt;&gt;"",F272&gt;=2),V271+1,0)</f>
        <v>0</v>
      </c>
      <c r="W272" s="14" t="n">
        <f aca="false">IF(O272=0,W271+1,0)</f>
        <v>5</v>
      </c>
      <c r="X272" s="14" t="str">
        <f aca="false">IF(OR(E272="",F272=""),"",ROUND((10*(E272-1)+10*(2-MIN(F272,2)))/60*100,0))</f>
        <v/>
      </c>
    </row>
    <row r="273" customFormat="false" ht="15" hidden="false" customHeight="false" outlineLevel="0" collapsed="false">
      <c r="A273" s="4" t="s">
        <v>100</v>
      </c>
      <c r="B273" s="4" t="n">
        <v>6</v>
      </c>
      <c r="C273" s="4" t="n">
        <f aca="false">IF(B273&lt;=7,1,2)</f>
        <v>1</v>
      </c>
      <c r="D273" s="15"/>
      <c r="E273" s="15"/>
      <c r="F273" s="15"/>
      <c r="G273" s="15"/>
      <c r="H273" s="15"/>
      <c r="I273" s="15"/>
      <c r="J273" s="15"/>
      <c r="K273" s="16"/>
      <c r="L273" s="16"/>
      <c r="M273" s="15"/>
      <c r="N273" s="14" t="str">
        <f aca="false">IF(OR(E273="",F273="",G273=""),"",10*(E273-1)+10*(G273-1)+10*(2-MIN(F273,2)))</f>
        <v/>
      </c>
      <c r="O273" s="14" t="n">
        <f aca="false">IF(AND(N273&lt;&gt;"",I273&lt;&gt;""),1,0)</f>
        <v>0</v>
      </c>
      <c r="P273" s="14" t="str">
        <f aca="false">IF(N273="","",IF(N273&lt;Ngưỡng!$B$4,1,0))</f>
        <v/>
      </c>
      <c r="Q273" s="14" t="str">
        <f aca="false">IF(I273="","",IF(I273&gt;=Ngưỡng!$B$5,1,0))</f>
        <v/>
      </c>
      <c r="R273" s="14" t="str">
        <f aca="false">IF(H273="","",IF(H273&lt;&gt;"Yên",1,0))</f>
        <v/>
      </c>
      <c r="S273" s="14" t="str">
        <f aca="false">IF(K273="","",IF(K273&gt;Ngưỡng!$B$6,1,0))</f>
        <v/>
      </c>
      <c r="T273" s="14" t="str">
        <f aca="false">IF(N273="","",IF(N273&gt;=Ngưỡng!$B$3,1,0))</f>
        <v/>
      </c>
      <c r="U273" s="14" t="n">
        <f aca="false">IF(I273=5,U272+1,0)</f>
        <v>0</v>
      </c>
      <c r="V273" s="14" t="n">
        <f aca="false">IF(AND(F273&lt;&gt;"",F273&gt;=2),V272+1,0)</f>
        <v>0</v>
      </c>
      <c r="W273" s="14" t="n">
        <f aca="false">IF(O273=0,W272+1,0)</f>
        <v>6</v>
      </c>
      <c r="X273" s="14" t="str">
        <f aca="false">IF(OR(E273="",F273=""),"",ROUND((10*(E273-1)+10*(2-MIN(F273,2)))/60*100,0))</f>
        <v/>
      </c>
    </row>
    <row r="274" customFormat="false" ht="15" hidden="false" customHeight="false" outlineLevel="0" collapsed="false">
      <c r="A274" s="4" t="s">
        <v>100</v>
      </c>
      <c r="B274" s="4" t="n">
        <v>7</v>
      </c>
      <c r="C274" s="4" t="n">
        <f aca="false">IF(B274&lt;=7,1,2)</f>
        <v>1</v>
      </c>
      <c r="D274" s="15"/>
      <c r="E274" s="15"/>
      <c r="F274" s="15"/>
      <c r="G274" s="15"/>
      <c r="H274" s="15"/>
      <c r="I274" s="15"/>
      <c r="J274" s="15"/>
      <c r="K274" s="16"/>
      <c r="L274" s="16"/>
      <c r="M274" s="15"/>
      <c r="N274" s="14" t="str">
        <f aca="false">IF(OR(E274="",F274="",G274=""),"",10*(E274-1)+10*(G274-1)+10*(2-MIN(F274,2)))</f>
        <v/>
      </c>
      <c r="O274" s="14" t="n">
        <f aca="false">IF(AND(N274&lt;&gt;"",I274&lt;&gt;""),1,0)</f>
        <v>0</v>
      </c>
      <c r="P274" s="14" t="str">
        <f aca="false">IF(N274="","",IF(N274&lt;Ngưỡng!$B$4,1,0))</f>
        <v/>
      </c>
      <c r="Q274" s="14" t="str">
        <f aca="false">IF(I274="","",IF(I274&gt;=Ngưỡng!$B$5,1,0))</f>
        <v/>
      </c>
      <c r="R274" s="14" t="str">
        <f aca="false">IF(H274="","",IF(H274&lt;&gt;"Yên",1,0))</f>
        <v/>
      </c>
      <c r="S274" s="14" t="str">
        <f aca="false">IF(K274="","",IF(K274&gt;Ngưỡng!$B$6,1,0))</f>
        <v/>
      </c>
      <c r="T274" s="14" t="str">
        <f aca="false">IF(N274="","",IF(N274&gt;=Ngưỡng!$B$3,1,0))</f>
        <v/>
      </c>
      <c r="U274" s="14" t="n">
        <f aca="false">IF(I274=5,U273+1,0)</f>
        <v>0</v>
      </c>
      <c r="V274" s="14" t="n">
        <f aca="false">IF(AND(F274&lt;&gt;"",F274&gt;=2),V273+1,0)</f>
        <v>0</v>
      </c>
      <c r="W274" s="14" t="n">
        <f aca="false">IF(O274=0,W273+1,0)</f>
        <v>7</v>
      </c>
      <c r="X274" s="14" t="str">
        <f aca="false">IF(OR(E274="",F274=""),"",ROUND((10*(E274-1)+10*(2-MIN(F274,2)))/60*100,0))</f>
        <v/>
      </c>
    </row>
    <row r="275" customFormat="false" ht="15" hidden="false" customHeight="false" outlineLevel="0" collapsed="false">
      <c r="A275" s="4" t="s">
        <v>100</v>
      </c>
      <c r="B275" s="4" t="n">
        <v>8</v>
      </c>
      <c r="C275" s="4" t="n">
        <f aca="false">IF(B275&lt;=7,1,2)</f>
        <v>2</v>
      </c>
      <c r="D275" s="15"/>
      <c r="E275" s="15"/>
      <c r="F275" s="15"/>
      <c r="G275" s="15"/>
      <c r="H275" s="15"/>
      <c r="I275" s="15"/>
      <c r="J275" s="15"/>
      <c r="K275" s="16"/>
      <c r="L275" s="16"/>
      <c r="M275" s="15"/>
      <c r="N275" s="14" t="str">
        <f aca="false">IF(OR(E275="",F275="",G275=""),"",10*(E275-1)+10*(G275-1)+10*(2-MIN(F275,2)))</f>
        <v/>
      </c>
      <c r="O275" s="14" t="n">
        <f aca="false">IF(AND(N275&lt;&gt;"",I275&lt;&gt;""),1,0)</f>
        <v>0</v>
      </c>
      <c r="P275" s="14" t="str">
        <f aca="false">IF(N275="","",IF(N275&lt;Ngưỡng!$B$4,1,0))</f>
        <v/>
      </c>
      <c r="Q275" s="14" t="str">
        <f aca="false">IF(I275="","",IF(I275&gt;=Ngưỡng!$B$5,1,0))</f>
        <v/>
      </c>
      <c r="R275" s="14" t="str">
        <f aca="false">IF(H275="","",IF(H275&lt;&gt;"Yên",1,0))</f>
        <v/>
      </c>
      <c r="S275" s="14" t="str">
        <f aca="false">IF(K275="","",IF(K275&gt;Ngưỡng!$B$6,1,0))</f>
        <v/>
      </c>
      <c r="T275" s="14" t="str">
        <f aca="false">IF(N275="","",IF(N275&gt;=Ngưỡng!$B$3,1,0))</f>
        <v/>
      </c>
      <c r="U275" s="14" t="n">
        <f aca="false">IF(I275=5,U274+1,0)</f>
        <v>0</v>
      </c>
      <c r="V275" s="14" t="n">
        <f aca="false">IF(AND(F275&lt;&gt;"",F275&gt;=2),V274+1,0)</f>
        <v>0</v>
      </c>
      <c r="W275" s="14" t="n">
        <f aca="false">IF(O275=0,W274+1,0)</f>
        <v>8</v>
      </c>
      <c r="X275" s="14" t="str">
        <f aca="false">IF(OR(E275="",F275=""),"",ROUND((10*(E275-1)+10*(2-MIN(F275,2)))/60*100,0))</f>
        <v/>
      </c>
    </row>
    <row r="276" customFormat="false" ht="15" hidden="false" customHeight="false" outlineLevel="0" collapsed="false">
      <c r="A276" s="4" t="s">
        <v>100</v>
      </c>
      <c r="B276" s="4" t="n">
        <v>9</v>
      </c>
      <c r="C276" s="4" t="n">
        <f aca="false">IF(B276&lt;=7,1,2)</f>
        <v>2</v>
      </c>
      <c r="D276" s="15"/>
      <c r="E276" s="15"/>
      <c r="F276" s="15"/>
      <c r="G276" s="15"/>
      <c r="H276" s="15"/>
      <c r="I276" s="15"/>
      <c r="J276" s="15"/>
      <c r="K276" s="16"/>
      <c r="L276" s="16"/>
      <c r="M276" s="15"/>
      <c r="N276" s="14" t="str">
        <f aca="false">IF(OR(E276="",F276="",G276=""),"",10*(E276-1)+10*(G276-1)+10*(2-MIN(F276,2)))</f>
        <v/>
      </c>
      <c r="O276" s="14" t="n">
        <f aca="false">IF(AND(N276&lt;&gt;"",I276&lt;&gt;""),1,0)</f>
        <v>0</v>
      </c>
      <c r="P276" s="14" t="str">
        <f aca="false">IF(N276="","",IF(N276&lt;Ngưỡng!$B$4,1,0))</f>
        <v/>
      </c>
      <c r="Q276" s="14" t="str">
        <f aca="false">IF(I276="","",IF(I276&gt;=Ngưỡng!$B$5,1,0))</f>
        <v/>
      </c>
      <c r="R276" s="14" t="str">
        <f aca="false">IF(H276="","",IF(H276&lt;&gt;"Yên",1,0))</f>
        <v/>
      </c>
      <c r="S276" s="14" t="str">
        <f aca="false">IF(K276="","",IF(K276&gt;Ngưỡng!$B$6,1,0))</f>
        <v/>
      </c>
      <c r="T276" s="14" t="str">
        <f aca="false">IF(N276="","",IF(N276&gt;=Ngưỡng!$B$3,1,0))</f>
        <v/>
      </c>
      <c r="U276" s="14" t="n">
        <f aca="false">IF(I276=5,U275+1,0)</f>
        <v>0</v>
      </c>
      <c r="V276" s="14" t="n">
        <f aca="false">IF(AND(F276&lt;&gt;"",F276&gt;=2),V275+1,0)</f>
        <v>0</v>
      </c>
      <c r="W276" s="14" t="n">
        <f aca="false">IF(O276=0,W275+1,0)</f>
        <v>9</v>
      </c>
      <c r="X276" s="14" t="str">
        <f aca="false">IF(OR(E276="",F276=""),"",ROUND((10*(E276-1)+10*(2-MIN(F276,2)))/60*100,0))</f>
        <v/>
      </c>
    </row>
    <row r="277" customFormat="false" ht="15" hidden="false" customHeight="false" outlineLevel="0" collapsed="false">
      <c r="A277" s="4" t="s">
        <v>100</v>
      </c>
      <c r="B277" s="4" t="n">
        <v>10</v>
      </c>
      <c r="C277" s="4" t="n">
        <f aca="false">IF(B277&lt;=7,1,2)</f>
        <v>2</v>
      </c>
      <c r="D277" s="15"/>
      <c r="E277" s="15"/>
      <c r="F277" s="15"/>
      <c r="G277" s="15"/>
      <c r="H277" s="15"/>
      <c r="I277" s="15"/>
      <c r="J277" s="15"/>
      <c r="K277" s="16"/>
      <c r="L277" s="16"/>
      <c r="M277" s="15"/>
      <c r="N277" s="14" t="str">
        <f aca="false">IF(OR(E277="",F277="",G277=""),"",10*(E277-1)+10*(G277-1)+10*(2-MIN(F277,2)))</f>
        <v/>
      </c>
      <c r="O277" s="14" t="n">
        <f aca="false">IF(AND(N277&lt;&gt;"",I277&lt;&gt;""),1,0)</f>
        <v>0</v>
      </c>
      <c r="P277" s="14" t="str">
        <f aca="false">IF(N277="","",IF(N277&lt;Ngưỡng!$B$4,1,0))</f>
        <v/>
      </c>
      <c r="Q277" s="14" t="str">
        <f aca="false">IF(I277="","",IF(I277&gt;=Ngưỡng!$B$5,1,0))</f>
        <v/>
      </c>
      <c r="R277" s="14" t="str">
        <f aca="false">IF(H277="","",IF(H277&lt;&gt;"Yên",1,0))</f>
        <v/>
      </c>
      <c r="S277" s="14" t="str">
        <f aca="false">IF(K277="","",IF(K277&gt;Ngưỡng!$B$6,1,0))</f>
        <v/>
      </c>
      <c r="T277" s="14" t="str">
        <f aca="false">IF(N277="","",IF(N277&gt;=Ngưỡng!$B$3,1,0))</f>
        <v/>
      </c>
      <c r="U277" s="14" t="n">
        <f aca="false">IF(I277=5,U276+1,0)</f>
        <v>0</v>
      </c>
      <c r="V277" s="14" t="n">
        <f aca="false">IF(AND(F277&lt;&gt;"",F277&gt;=2),V276+1,0)</f>
        <v>0</v>
      </c>
      <c r="W277" s="14" t="n">
        <f aca="false">IF(O277=0,W276+1,0)</f>
        <v>10</v>
      </c>
      <c r="X277" s="14" t="str">
        <f aca="false">IF(OR(E277="",F277=""),"",ROUND((10*(E277-1)+10*(2-MIN(F277,2)))/60*100,0))</f>
        <v/>
      </c>
    </row>
    <row r="278" customFormat="false" ht="15" hidden="false" customHeight="false" outlineLevel="0" collapsed="false">
      <c r="A278" s="4" t="s">
        <v>100</v>
      </c>
      <c r="B278" s="4" t="n">
        <v>11</v>
      </c>
      <c r="C278" s="4" t="n">
        <f aca="false">IF(B278&lt;=7,1,2)</f>
        <v>2</v>
      </c>
      <c r="D278" s="15"/>
      <c r="E278" s="15"/>
      <c r="F278" s="15"/>
      <c r="G278" s="15"/>
      <c r="H278" s="15"/>
      <c r="I278" s="15"/>
      <c r="J278" s="15"/>
      <c r="K278" s="16"/>
      <c r="L278" s="16"/>
      <c r="M278" s="15"/>
      <c r="N278" s="14" t="str">
        <f aca="false">IF(OR(E278="",F278="",G278=""),"",10*(E278-1)+10*(G278-1)+10*(2-MIN(F278,2)))</f>
        <v/>
      </c>
      <c r="O278" s="14" t="n">
        <f aca="false">IF(AND(N278&lt;&gt;"",I278&lt;&gt;""),1,0)</f>
        <v>0</v>
      </c>
      <c r="P278" s="14" t="str">
        <f aca="false">IF(N278="","",IF(N278&lt;Ngưỡng!$B$4,1,0))</f>
        <v/>
      </c>
      <c r="Q278" s="14" t="str">
        <f aca="false">IF(I278="","",IF(I278&gt;=Ngưỡng!$B$5,1,0))</f>
        <v/>
      </c>
      <c r="R278" s="14" t="str">
        <f aca="false">IF(H278="","",IF(H278&lt;&gt;"Yên",1,0))</f>
        <v/>
      </c>
      <c r="S278" s="14" t="str">
        <f aca="false">IF(K278="","",IF(K278&gt;Ngưỡng!$B$6,1,0))</f>
        <v/>
      </c>
      <c r="T278" s="14" t="str">
        <f aca="false">IF(N278="","",IF(N278&gt;=Ngưỡng!$B$3,1,0))</f>
        <v/>
      </c>
      <c r="U278" s="14" t="n">
        <f aca="false">IF(I278=5,U277+1,0)</f>
        <v>0</v>
      </c>
      <c r="V278" s="14" t="n">
        <f aca="false">IF(AND(F278&lt;&gt;"",F278&gt;=2),V277+1,0)</f>
        <v>0</v>
      </c>
      <c r="W278" s="14" t="n">
        <f aca="false">IF(O278=0,W277+1,0)</f>
        <v>11</v>
      </c>
      <c r="X278" s="14" t="str">
        <f aca="false">IF(OR(E278="",F278=""),"",ROUND((10*(E278-1)+10*(2-MIN(F278,2)))/60*100,0))</f>
        <v/>
      </c>
    </row>
    <row r="279" customFormat="false" ht="15" hidden="false" customHeight="false" outlineLevel="0" collapsed="false">
      <c r="A279" s="4" t="s">
        <v>100</v>
      </c>
      <c r="B279" s="4" t="n">
        <v>12</v>
      </c>
      <c r="C279" s="4" t="n">
        <f aca="false">IF(B279&lt;=7,1,2)</f>
        <v>2</v>
      </c>
      <c r="D279" s="15"/>
      <c r="E279" s="15"/>
      <c r="F279" s="15"/>
      <c r="G279" s="15"/>
      <c r="H279" s="15"/>
      <c r="I279" s="15"/>
      <c r="J279" s="15"/>
      <c r="K279" s="16"/>
      <c r="L279" s="16"/>
      <c r="M279" s="15"/>
      <c r="N279" s="14" t="str">
        <f aca="false">IF(OR(E279="",F279="",G279=""),"",10*(E279-1)+10*(G279-1)+10*(2-MIN(F279,2)))</f>
        <v/>
      </c>
      <c r="O279" s="14" t="n">
        <f aca="false">IF(AND(N279&lt;&gt;"",I279&lt;&gt;""),1,0)</f>
        <v>0</v>
      </c>
      <c r="P279" s="14" t="str">
        <f aca="false">IF(N279="","",IF(N279&lt;Ngưỡng!$B$4,1,0))</f>
        <v/>
      </c>
      <c r="Q279" s="14" t="str">
        <f aca="false">IF(I279="","",IF(I279&gt;=Ngưỡng!$B$5,1,0))</f>
        <v/>
      </c>
      <c r="R279" s="14" t="str">
        <f aca="false">IF(H279="","",IF(H279&lt;&gt;"Yên",1,0))</f>
        <v/>
      </c>
      <c r="S279" s="14" t="str">
        <f aca="false">IF(K279="","",IF(K279&gt;Ngưỡng!$B$6,1,0))</f>
        <v/>
      </c>
      <c r="T279" s="14" t="str">
        <f aca="false">IF(N279="","",IF(N279&gt;=Ngưỡng!$B$3,1,0))</f>
        <v/>
      </c>
      <c r="U279" s="14" t="n">
        <f aca="false">IF(I279=5,U278+1,0)</f>
        <v>0</v>
      </c>
      <c r="V279" s="14" t="n">
        <f aca="false">IF(AND(F279&lt;&gt;"",F279&gt;=2),V278+1,0)</f>
        <v>0</v>
      </c>
      <c r="W279" s="14" t="n">
        <f aca="false">IF(O279=0,W278+1,0)</f>
        <v>12</v>
      </c>
      <c r="X279" s="14" t="str">
        <f aca="false">IF(OR(E279="",F279=""),"",ROUND((10*(E279-1)+10*(2-MIN(F279,2)))/60*100,0))</f>
        <v/>
      </c>
    </row>
    <row r="280" customFormat="false" ht="15" hidden="false" customHeight="false" outlineLevel="0" collapsed="false">
      <c r="A280" s="4" t="s">
        <v>100</v>
      </c>
      <c r="B280" s="4" t="n">
        <v>13</v>
      </c>
      <c r="C280" s="4" t="n">
        <f aca="false">IF(B280&lt;=7,1,2)</f>
        <v>2</v>
      </c>
      <c r="D280" s="15"/>
      <c r="E280" s="15"/>
      <c r="F280" s="15"/>
      <c r="G280" s="15"/>
      <c r="H280" s="15"/>
      <c r="I280" s="15"/>
      <c r="J280" s="15"/>
      <c r="K280" s="16"/>
      <c r="L280" s="16"/>
      <c r="M280" s="15"/>
      <c r="N280" s="14" t="str">
        <f aca="false">IF(OR(E280="",F280="",G280=""),"",10*(E280-1)+10*(G280-1)+10*(2-MIN(F280,2)))</f>
        <v/>
      </c>
      <c r="O280" s="14" t="n">
        <f aca="false">IF(AND(N280&lt;&gt;"",I280&lt;&gt;""),1,0)</f>
        <v>0</v>
      </c>
      <c r="P280" s="14" t="str">
        <f aca="false">IF(N280="","",IF(N280&lt;Ngưỡng!$B$4,1,0))</f>
        <v/>
      </c>
      <c r="Q280" s="14" t="str">
        <f aca="false">IF(I280="","",IF(I280&gt;=Ngưỡng!$B$5,1,0))</f>
        <v/>
      </c>
      <c r="R280" s="14" t="str">
        <f aca="false">IF(H280="","",IF(H280&lt;&gt;"Yên",1,0))</f>
        <v/>
      </c>
      <c r="S280" s="14" t="str">
        <f aca="false">IF(K280="","",IF(K280&gt;Ngưỡng!$B$6,1,0))</f>
        <v/>
      </c>
      <c r="T280" s="14" t="str">
        <f aca="false">IF(N280="","",IF(N280&gt;=Ngưỡng!$B$3,1,0))</f>
        <v/>
      </c>
      <c r="U280" s="14" t="n">
        <f aca="false">IF(I280=5,U279+1,0)</f>
        <v>0</v>
      </c>
      <c r="V280" s="14" t="n">
        <f aca="false">IF(AND(F280&lt;&gt;"",F280&gt;=2),V279+1,0)</f>
        <v>0</v>
      </c>
      <c r="W280" s="14" t="n">
        <f aca="false">IF(O280=0,W279+1,0)</f>
        <v>13</v>
      </c>
      <c r="X280" s="14" t="str">
        <f aca="false">IF(OR(E280="",F280=""),"",ROUND((10*(E280-1)+10*(2-MIN(F280,2)))/60*100,0))</f>
        <v/>
      </c>
    </row>
    <row r="281" customFormat="false" ht="15" hidden="false" customHeight="false" outlineLevel="0" collapsed="false">
      <c r="A281" s="4" t="s">
        <v>100</v>
      </c>
      <c r="B281" s="4" t="n">
        <v>14</v>
      </c>
      <c r="C281" s="4" t="n">
        <f aca="false">IF(B281&lt;=7,1,2)</f>
        <v>2</v>
      </c>
      <c r="D281" s="15"/>
      <c r="E281" s="15"/>
      <c r="F281" s="15"/>
      <c r="G281" s="15"/>
      <c r="H281" s="15"/>
      <c r="I281" s="15"/>
      <c r="J281" s="15"/>
      <c r="K281" s="16"/>
      <c r="L281" s="16"/>
      <c r="M281" s="15"/>
      <c r="N281" s="14" t="str">
        <f aca="false">IF(OR(E281="",F281="",G281=""),"",10*(E281-1)+10*(G281-1)+10*(2-MIN(F281,2)))</f>
        <v/>
      </c>
      <c r="O281" s="14" t="n">
        <f aca="false">IF(AND(N281&lt;&gt;"",I281&lt;&gt;""),1,0)</f>
        <v>0</v>
      </c>
      <c r="P281" s="14" t="str">
        <f aca="false">IF(N281="","",IF(N281&lt;Ngưỡng!$B$4,1,0))</f>
        <v/>
      </c>
      <c r="Q281" s="14" t="str">
        <f aca="false">IF(I281="","",IF(I281&gt;=Ngưỡng!$B$5,1,0))</f>
        <v/>
      </c>
      <c r="R281" s="14" t="str">
        <f aca="false">IF(H281="","",IF(H281&lt;&gt;"Yên",1,0))</f>
        <v/>
      </c>
      <c r="S281" s="14" t="str">
        <f aca="false">IF(K281="","",IF(K281&gt;Ngưỡng!$B$6,1,0))</f>
        <v/>
      </c>
      <c r="T281" s="14" t="str">
        <f aca="false">IF(N281="","",IF(N281&gt;=Ngưỡng!$B$3,1,0))</f>
        <v/>
      </c>
      <c r="U281" s="14" t="n">
        <f aca="false">IF(I281=5,U280+1,0)</f>
        <v>0</v>
      </c>
      <c r="V281" s="14" t="n">
        <f aca="false">IF(AND(F281&lt;&gt;"",F281&gt;=2),V280+1,0)</f>
        <v>0</v>
      </c>
      <c r="W281" s="14" t="n">
        <f aca="false">IF(O281=0,W280+1,0)</f>
        <v>14</v>
      </c>
      <c r="X281" s="14" t="str">
        <f aca="false">IF(OR(E281="",F281=""),"",ROUND((10*(E281-1)+10*(2-MIN(F281,2)))/60*100,0))</f>
        <v/>
      </c>
    </row>
  </sheetData>
  <conditionalFormatting sqref="N2:N281">
    <cfRule type="cellIs" priority="2" operator="lessThan" aboveAverage="0" equalAverage="0" bottom="0" percent="0" rank="0" text="" dxfId="0">
      <formula>Ngưỡng!$B$4</formula>
    </cfRule>
    <cfRule type="cellIs" priority="3" operator="greaterThanOrEqual" aboveAverage="0" equalAverage="0" bottom="0" percent="0" rank="0" text="" dxfId="1">
      <formula>Ngưỡng!$B$3</formula>
    </cfRule>
  </conditionalFormatting>
  <dataValidations count="5">
    <dataValidation allowBlank="true" errorStyle="stop" operator="between" showDropDown="false" showErrorMessage="false" showInputMessage="false" sqref="E2:E281 G2:G281 I2:I281" type="whole">
      <formula1>1</formula1>
      <formula2>5</formula2>
    </dataValidation>
    <dataValidation allowBlank="true" errorStyle="stop" operator="between" showDropDown="false" showErrorMessage="false" showInputMessage="false" sqref="F2:F281" type="whole">
      <formula1>0</formula1>
      <formula2>2</formula2>
    </dataValidation>
    <dataValidation allowBlank="true" errorStyle="stop" operator="between" showDropDown="false" showErrorMessage="false" showInputMessage="false" sqref="M2:M281" type="whole">
      <formula1>0</formula1>
      <formula2>1</formula2>
    </dataValidation>
    <dataValidation allowBlank="true" errorStyle="stop" operator="between" showDropDown="false" showErrorMessage="false" showInputMessage="false" sqref="H2:H281" type="list">
      <formula1>"Yên,Nghĩ nhiều,Lo hồi hộp,Bực"</formula1>
      <formula2>0</formula2>
    </dataValidation>
    <dataValidation allowBlank="true" errorStyle="stop" operator="between" showDropDown="false" showErrorMessage="false" showInputMessage="false" sqref="J2:J281" type="list">
      <formula1>"Việc,Tiền,Người,Không rõ"</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8"/>
    <col collapsed="false" customWidth="true" hidden="false" outlineLevel="0" max="5" min="4" style="0" width="9"/>
    <col collapsed="false" customWidth="true" hidden="false" outlineLevel="0" max="6" min="6" style="0" width="8"/>
    <col collapsed="false" customWidth="true" hidden="false" outlineLevel="0" max="8" min="7" style="0" width="9"/>
    <col collapsed="false" customWidth="true" hidden="false" outlineLevel="0" max="9" min="9" style="0" width="8"/>
    <col collapsed="false" customWidth="true" hidden="false" outlineLevel="0" max="14" min="10" style="0" width="9"/>
    <col collapsed="false" customWidth="true" hidden="false" outlineLevel="0" max="15" min="15" style="0" width="8"/>
    <col collapsed="false" customWidth="true" hidden="false" outlineLevel="0" max="17" min="16" style="0" width="9"/>
    <col collapsed="false" customWidth="true" hidden="false" outlineLevel="0" max="18" min="18" style="0" width="8"/>
    <col collapsed="false" customWidth="true" hidden="false" outlineLevel="0" max="19" min="19" style="0" width="11"/>
    <col collapsed="false" customWidth="true" hidden="false" outlineLevel="0" max="20" min="20" style="0" width="28"/>
    <col collapsed="false" customWidth="true" hidden="false" outlineLevel="0" max="21" min="21" style="0" width="60"/>
    <col collapsed="false" customWidth="true" hidden="false" outlineLevel="0" max="22" min="22" style="0" width="34"/>
    <col collapsed="false" customWidth="true" hidden="true" outlineLevel="0" max="26" min="23" style="0" width="6"/>
    <col collapsed="false" customWidth="true" hidden="false" outlineLevel="0" max="27" min="27" style="0" width="9"/>
  </cols>
  <sheetData>
    <row r="1" customFormat="false" ht="42" hidden="false" customHeight="true" outlineLevel="0" collapsed="false">
      <c r="A1" s="10" t="s">
        <v>58</v>
      </c>
      <c r="B1" s="10" t="s">
        <v>101</v>
      </c>
      <c r="C1" s="10" t="s">
        <v>102</v>
      </c>
      <c r="D1" s="10" t="s">
        <v>103</v>
      </c>
      <c r="E1" s="10" t="s">
        <v>104</v>
      </c>
      <c r="F1" s="10" t="s">
        <v>105</v>
      </c>
      <c r="G1" s="10" t="s">
        <v>106</v>
      </c>
      <c r="H1" s="10" t="s">
        <v>107</v>
      </c>
      <c r="I1" s="10" t="s">
        <v>108</v>
      </c>
      <c r="J1" s="10" t="s">
        <v>109</v>
      </c>
      <c r="K1" s="10" t="s">
        <v>110</v>
      </c>
      <c r="L1" s="10" t="s">
        <v>111</v>
      </c>
      <c r="M1" s="10" t="s">
        <v>112</v>
      </c>
      <c r="N1" s="10" t="s">
        <v>113</v>
      </c>
      <c r="O1" s="10" t="s">
        <v>114</v>
      </c>
      <c r="P1" s="10" t="s">
        <v>115</v>
      </c>
      <c r="Q1" s="10" t="s">
        <v>116</v>
      </c>
      <c r="R1" s="10" t="s">
        <v>117</v>
      </c>
      <c r="S1" s="10" t="s">
        <v>118</v>
      </c>
      <c r="T1" s="10" t="s">
        <v>119</v>
      </c>
      <c r="U1" s="10" t="s">
        <v>120</v>
      </c>
      <c r="V1" s="10" t="s">
        <v>121</v>
      </c>
      <c r="W1" s="10" t="s">
        <v>122</v>
      </c>
      <c r="X1" s="10" t="s">
        <v>123</v>
      </c>
      <c r="Y1" s="10" t="s">
        <v>124</v>
      </c>
      <c r="Z1" s="10" t="s">
        <v>125</v>
      </c>
      <c r="AA1" s="10" t="s">
        <v>126</v>
      </c>
    </row>
    <row r="2" customFormat="false" ht="35.05" hidden="false" customHeight="false" outlineLevel="0" collapsed="false">
      <c r="A2" s="0" t="s">
        <v>81</v>
      </c>
      <c r="B2" s="4" t="n">
        <f aca="false">COUNTIFS('Nhật ký'!$A$2:$A$281,$A2,'Nhật ký'!$O$2:$O$281,1)</f>
        <v>14</v>
      </c>
      <c r="C2" s="4" t="n">
        <f aca="false">COUNTIFS('Nhật ký'!$A$2:$A$281,$A2,'Nhật ký'!$Q$2:$Q$281,1)</f>
        <v>6</v>
      </c>
      <c r="D2" s="17" t="n">
        <f aca="false">IFERROR(AVERAGEIFS('Nhật ký'!$N$2:$N$281,'Nhật ký'!$A$2:$A$281,$A2,'Nhật ký'!$C$2:$C$281,1),"")</f>
        <v>48.5714285714286</v>
      </c>
      <c r="E2" s="17" t="n">
        <f aca="false">IFERROR(AVERAGEIFS('Nhật ký'!$N$2:$N$281,'Nhật ký'!$A$2:$A$281,$A2,'Nhật ký'!$C$2:$C$281,2),"")</f>
        <v>67.1428571428571</v>
      </c>
      <c r="F2" s="17" t="n">
        <f aca="false">IF(OR(D2="",E2=""),"",E2-D2)</f>
        <v>18.5714285714286</v>
      </c>
      <c r="G2" s="4" t="n">
        <f aca="false">COUNTIFS('Nhật ký'!$A$2:$A$281,$A2,'Nhật ký'!$T$2:$T$281,1,'Nhật ký'!$C$2:$C$281,2)</f>
        <v>4</v>
      </c>
      <c r="H2" s="4" t="str">
        <f aca="false">IF(F2="","",IF(AND(F2&gt;=Ngưỡng!$B$11,G2&gt;=Ngưỡng!$B$12),"Có","Chưa"))</f>
        <v>Có</v>
      </c>
      <c r="I2" s="4" t="n">
        <f aca="false">COUNTIFS('Nhật ký'!$A$2:$A$281,$A2,'Nhật ký'!$P$2:$P$281,1)</f>
        <v>6</v>
      </c>
      <c r="J2" s="4" t="n">
        <f aca="false">COUNTIFS('Nhật ký'!$A$2:$A$281,$A2,'Nhật ký'!$P$2:$P$281,1,'Nhật ký'!$Q$2:$Q$281,1)</f>
        <v>5</v>
      </c>
      <c r="K2" s="18" t="n">
        <f aca="false">IFERROR(J2/C2,0)</f>
        <v>0.833333333333333</v>
      </c>
      <c r="L2" s="18" t="n">
        <f aca="false">IFERROR(COUNTIFS('Nhật ký'!$A$2:$A$281,$A2,'Nhật ký'!$P$2:$P$281,1,'Nhật ký'!$Q$2:$Q$281,0)/COUNTIFS('Nhật ký'!$A$2:$A$281,$A2,'Nhật ký'!$Q$2:$Q$281,0),0)</f>
        <v>0.125</v>
      </c>
      <c r="M2" s="18" t="n">
        <f aca="false">K2-L2</f>
        <v>0.708333333333333</v>
      </c>
      <c r="N2" s="18" t="n">
        <f aca="false">IFERROR(COUNTIFS('Nhật ký'!$A$2:$A$281,$A2,'Nhật ký'!$R$2:$R$281,1)/14,0)</f>
        <v>0.428571428571429</v>
      </c>
      <c r="O2" s="4" t="n">
        <f aca="false">COUNTIFS('Nhật ký'!$A$2:$A$281,$A2,'Nhật ký'!$S$2:$S$281,1)</f>
        <v>2</v>
      </c>
      <c r="P2" s="18" t="n">
        <f aca="false">IFERROR(COUNTIFS('Nhật ký'!$A$2:$A$281,$A2,'Nhật ký'!$P$2:$P$281,1,'Nhật ký'!$S$2:$S$281,1)/O2,0)</f>
        <v>1</v>
      </c>
      <c r="Q2" s="17" t="n">
        <f aca="false">IFERROR(AVERAGEIFS('Nhật ký'!$G$2:$G$281,'Nhật ký'!$A$2:$A$281,$A2,'Nhật ký'!$C$2:$C$281,2),"")</f>
        <v>3.42857142857143</v>
      </c>
      <c r="R2" s="4" t="n">
        <f aca="false">COUNTIFS('Nhật ký'!$A$2:$A$281,$A2,'Nhật ký'!$Q$2:$Q$281,1,'Nhật ký'!$C$2:$C$281,2)</f>
        <v>3</v>
      </c>
      <c r="S2" s="4" t="str">
        <f aca="false">IF(MAX(W2:Z2)=0,"chưa rõ",INDEX(Ngưỡng!$D$3:$G$3,MATCH(MAX(W2:Z2),W2:Z2,0)))</f>
        <v>Việc</v>
      </c>
      <c r="T2" s="2" t="str">
        <f aca="false">IF(B2=0,"",IF(B2&lt;Ngưỡng!$B$8,"Chưa đủ dữ liệu: tổng kết ngủ, thêm 7 ngày",IF(H2&lt;&gt;"Có",IF(AND(ISNUMBER(AA2),AA2&gt;=Ngưỡng!$B$27,ISNUMBER(Q2),Q2&lt;Ngưỡng!$B$19),"Mời Hồi sinh lực","Chưa bám rễ: gia hạn 7 ngày"),IF(AND(O2&gt;=Ngưỡng!$B$26,P2&gt;K2),"Gốc tiêu hóa: ở lại Ngủ 7 ngày, dời bữa tối",IF(AND(C2&gt;=Ngưỡng!$B$9,M2&gt;=Ngưỡng!$B$14,K2&gt;=Ngưỡng!$B$15,OR(N2&gt;=Ngưỡng!$B$16,R2&gt;=Ngưỡng!$B$17)),"Mời Xả áp lực",IF(AND(ISNUMBER(Q2),Q2&lt;Ngưỡng!$B$19),"Mời Hồi sinh lực","Vào Cổng Khỏe"))))))</f>
        <v>Mời Xả áp lực</v>
      </c>
      <c r="U2" s="3" t="str">
        <f aca="false">IF(T2="","",IF(T2="Mời Xả áp lực","14 đêm qua, giấc ngủ của bạn lên từ "&amp;TEXT(D2,"0")&amp;" lên "&amp;TEXT(E2,"0")&amp;" điểm. Nhưng "&amp;J2&amp;" trong "&amp;I2&amp;" đêm vỡ rơi đúng vào ngày bạn chấm căng từ 4, và phần lớn là căng vì "&amp;S2&amp;". Gốc rễ giờ nằm ở ban ngày, mình sang Xả áp lực nhé?",IF(T2="Mời Hồi sinh lực","Giấc ngủ của bạn đã lên "&amp;TEXT(E2,"0")&amp;" điểm, nhưng tuần này bạn vẫn chỉ chấm sáng dậy trung bình "&amp;TEXT(Q2,"0.0")&amp;" trên 5. Ngủ đủ mà vẫn mệt là chuyện của khí. Mình sang Hồi sinh lực nhé?",IF(T2="Vào Cổng Khỏe","Giấc ngủ của bạn đã vững: "&amp;TEXT(E2,"0")&amp;" điểm, "&amp;G2&amp;" đêm đạt ngưỡng tuần này. Cơ thể bạn đã yên. 30 ngày tới mình chỉ chấm điểm sáng, không giao việc nữa.",IF(LEFT(T2,3)="Gốc","Giấc ngủ lên "&amp;TEXT(E2,"0")&amp;" điểm. Nhưng "&amp;O2&amp;" đêm bạn ăn tối sau 20 giờ, và phần lớn đêm vỡ rơi vào những đêm đó. Mình ở lại thêm 7 ngày, chỉ dời bữa tối sớm hơn nhé.",IF(LEFT(T2,4)="Chưa","Giấc ngủ của bạn đang lên từ "&amp;TEXT(D2,"0")&amp;" lên "&amp;TEXT(E2,"0")&amp;" điểm, chưa đủ vững. Mình đi thêm 7 đêm nữa, không vội.",""))))))</f>
        <v>14 đêm qua, giấc ngủ của bạn lên từ 49 lên 67 điểm. Nhưng 5 trong 6 đêm vỡ rơi đúng vào ngày bạn chấm căng từ 4, và phần lớn là căng vì Việc. Gốc rễ giờ nằm ở ban ngày, mình sang Xả áp lực nhé?</v>
      </c>
      <c r="V2" s="3" t="str">
        <f aca="false">IF(B2=0,"",IF(SUMPRODUCT(MAX(('Nhật ký'!$A$2:$A$281=$A2)*('Nhật ký'!$U$2:$U$281)))&gt;=Ngưỡng!$B$21,"Căng mức 5 liên tiếp, hỏi riêng; ","")&amp;IF(COUNTIFS('Nhật ký'!$A$2:$A$281,$A2,'Nhật ký'!$H$2:$H$281,"Lo hồi hộp")&gt;=Ngưỡng!$B$22,"Lo hồi hộp nhiều đêm, gợi ý người thật; ","")&amp;IF(SUMPRODUCT(MAX(('Nhật ký'!$A$2:$A$281=$A2)*('Nhật ký'!$V$2:$V$281)))&gt;=Ngưỡng!$B$23,"Tỉnh đêm kéo dài, gợi ý khám; ","")&amp;IF(SUMPRODUCT(MAX(('Nhật ký'!$A$2:$A$281=$A2)*('Nhật ký'!$W$2:$W$281)))&gt;=Ngưỡng!$B$24,"Thiếu dữ liệu nhiều ngày, hỏi một câu; ",""))</f>
        <v/>
      </c>
      <c r="W2" s="4" t="n">
        <f aca="false">COUNTIFS('Nhật ký'!$A$2:$A$281,$A2,'Nhật ký'!$J$2:$J$281,"Việc",'Nhật ký'!$Q$2:$Q$281,1)</f>
        <v>5</v>
      </c>
      <c r="X2" s="4" t="n">
        <f aca="false">COUNTIFS('Nhật ký'!$A$2:$A$281,$A2,'Nhật ký'!$J$2:$J$281,"Tiền",'Nhật ký'!$Q$2:$Q$281,1)</f>
        <v>0</v>
      </c>
      <c r="Y2" s="4" t="n">
        <f aca="false">COUNTIFS('Nhật ký'!$A$2:$A$281,$A2,'Nhật ký'!$J$2:$J$281,"Người",'Nhật ký'!$Q$2:$Q$281,1)</f>
        <v>1</v>
      </c>
      <c r="Z2" s="4" t="n">
        <f aca="false">COUNTIFS('Nhật ký'!$A$2:$A$281,$A2,'Nhật ký'!$J$2:$J$281,"Không rõ",'Nhật ký'!$Q$2:$Q$281,1)</f>
        <v>0</v>
      </c>
      <c r="AA2" s="17" t="n">
        <f aca="false">IFERROR(AVERAGEIFS('Nhật ký'!$X$2:$X$281,'Nhật ký'!$A$2:$A$281,$A2,'Nhật ký'!$C$2:$C$281,2),"")</f>
        <v>71.4285714285714</v>
      </c>
    </row>
    <row r="3" customFormat="false" ht="35.05" hidden="false" customHeight="false" outlineLevel="0" collapsed="false">
      <c r="A3" s="0" t="s">
        <v>82</v>
      </c>
      <c r="B3" s="4" t="n">
        <f aca="false">COUNTIFS('Nhật ký'!$A$2:$A$281,$A3,'Nhật ký'!$O$2:$O$281,1)</f>
        <v>14</v>
      </c>
      <c r="C3" s="4" t="n">
        <f aca="false">COUNTIFS('Nhật ký'!$A$2:$A$281,$A3,'Nhật ký'!$Q$2:$Q$281,1)</f>
        <v>0</v>
      </c>
      <c r="D3" s="17" t="n">
        <f aca="false">IFERROR(AVERAGEIFS('Nhật ký'!$N$2:$N$281,'Nhật ký'!$A$2:$A$281,$A3,'Nhật ký'!$C$2:$C$281,1),"")</f>
        <v>44.2857142857143</v>
      </c>
      <c r="E3" s="17" t="n">
        <f aca="false">IFERROR(AVERAGEIFS('Nhật ký'!$N$2:$N$281,'Nhật ký'!$A$2:$A$281,$A3,'Nhật ký'!$C$2:$C$281,2),"")</f>
        <v>67.1428571428571</v>
      </c>
      <c r="F3" s="17" t="n">
        <f aca="false">IF(OR(D3="",E3=""),"",E3-D3)</f>
        <v>22.8571428571429</v>
      </c>
      <c r="G3" s="4" t="n">
        <f aca="false">COUNTIFS('Nhật ký'!$A$2:$A$281,$A3,'Nhật ký'!$T$2:$T$281,1,'Nhật ký'!$C$2:$C$281,2)</f>
        <v>2</v>
      </c>
      <c r="H3" s="4" t="str">
        <f aca="false">IF(F3="","",IF(AND(F3&gt;=Ngưỡng!$B$11,G3&gt;=Ngưỡng!$B$12),"Có","Chưa"))</f>
        <v>Chưa</v>
      </c>
      <c r="I3" s="4" t="n">
        <f aca="false">COUNTIFS('Nhật ký'!$A$2:$A$281,$A3,'Nhật ký'!$P$2:$P$281,1)</f>
        <v>5</v>
      </c>
      <c r="J3" s="4" t="n">
        <f aca="false">COUNTIFS('Nhật ký'!$A$2:$A$281,$A3,'Nhật ký'!$P$2:$P$281,1,'Nhật ký'!$Q$2:$Q$281,1)</f>
        <v>0</v>
      </c>
      <c r="K3" s="18" t="n">
        <f aca="false">IFERROR(J3/C3,0)</f>
        <v>0</v>
      </c>
      <c r="L3" s="18" t="n">
        <f aca="false">IFERROR(COUNTIFS('Nhật ký'!$A$2:$A$281,$A3,'Nhật ký'!$P$2:$P$281,1,'Nhật ký'!$Q$2:$Q$281,0)/COUNTIFS('Nhật ký'!$A$2:$A$281,$A3,'Nhật ký'!$Q$2:$Q$281,0),0)</f>
        <v>0.357142857142857</v>
      </c>
      <c r="M3" s="18" t="n">
        <f aca="false">K3-L3</f>
        <v>-0.357142857142857</v>
      </c>
      <c r="N3" s="18" t="n">
        <f aca="false">IFERROR(COUNTIFS('Nhật ký'!$A$2:$A$281,$A3,'Nhật ký'!$R$2:$R$281,1)/14,0)</f>
        <v>0</v>
      </c>
      <c r="O3" s="4" t="n">
        <f aca="false">COUNTIFS('Nhật ký'!$A$2:$A$281,$A3,'Nhật ký'!$S$2:$S$281,1)</f>
        <v>4</v>
      </c>
      <c r="P3" s="18" t="n">
        <f aca="false">IFERROR(COUNTIFS('Nhật ký'!$A$2:$A$281,$A3,'Nhật ký'!$P$2:$P$281,1,'Nhật ký'!$S$2:$S$281,1)/O3,0)</f>
        <v>1</v>
      </c>
      <c r="Q3" s="17" t="n">
        <f aca="false">IFERROR(AVERAGEIFS('Nhật ký'!$G$2:$G$281,'Nhật ký'!$A$2:$A$281,$A3,'Nhật ký'!$C$2:$C$281,2),"")</f>
        <v>2.28571428571429</v>
      </c>
      <c r="R3" s="4" t="n">
        <f aca="false">COUNTIFS('Nhật ký'!$A$2:$A$281,$A3,'Nhật ký'!$Q$2:$Q$281,1,'Nhật ký'!$C$2:$C$281,2)</f>
        <v>0</v>
      </c>
      <c r="S3" s="4" t="str">
        <f aca="false">IF(MAX(W3:Z3)=0,"chưa rõ",INDEX(Ngưỡng!$D$3:$G$3,MATCH(MAX(W3:Z3),W3:Z3,0)))</f>
        <v>chưa rõ</v>
      </c>
      <c r="T3" s="2" t="str">
        <f aca="false">IF(B3=0,"",IF(B3&lt;Ngưỡng!$B$8,"Chưa đủ dữ liệu: tổng kết ngủ, thêm 7 ngày",IF(H3&lt;&gt;"Có",IF(AND(ISNUMBER(AA3),AA3&gt;=Ngưỡng!$B$27,ISNUMBER(Q3),Q3&lt;Ngưỡng!$B$19),"Mời Hồi sinh lực","Chưa bám rễ: gia hạn 7 ngày"),IF(AND(O3&gt;=Ngưỡng!$B$26,P3&gt;K3),"Gốc tiêu hóa: ở lại Ngủ 7 ngày, dời bữa tối",IF(AND(C3&gt;=Ngưỡng!$B$9,M3&gt;=Ngưỡng!$B$14,K3&gt;=Ngưỡng!$B$15,OR(N3&gt;=Ngưỡng!$B$16,R3&gt;=Ngưỡng!$B$17)),"Mời Xả áp lực",IF(AND(ISNUMBER(Q3),Q3&lt;Ngưỡng!$B$19),"Mời Hồi sinh lực","Vào Cổng Khỏe"))))))</f>
        <v>Mời Hồi sinh lực</v>
      </c>
      <c r="U3" s="3" t="str">
        <f aca="false">IF(T3="","",IF(T3="Mời Xả áp lực","14 đêm qua, giấc ngủ của bạn lên từ "&amp;TEXT(D3,"0")&amp;" lên "&amp;TEXT(E3,"0")&amp;" điểm. Nhưng "&amp;J3&amp;" trong "&amp;I3&amp;" đêm vỡ rơi đúng vào ngày bạn chấm căng từ 4, và phần lớn là căng vì "&amp;S3&amp;". Gốc rễ giờ nằm ở ban ngày, mình sang Xả áp lực nhé?",IF(T3="Mời Hồi sinh lực","Giấc ngủ của bạn đã lên "&amp;TEXT(E3,"0")&amp;" điểm, nhưng tuần này bạn vẫn chỉ chấm sáng dậy trung bình "&amp;TEXT(Q3,"0.0")&amp;" trên 5. Ngủ đủ mà vẫn mệt là chuyện của khí. Mình sang Hồi sinh lực nhé?",IF(T3="Vào Cổng Khỏe","Giấc ngủ của bạn đã vững: "&amp;TEXT(E3,"0")&amp;" điểm, "&amp;G3&amp;" đêm đạt ngưỡng tuần này. Cơ thể bạn đã yên. 30 ngày tới mình chỉ chấm điểm sáng, không giao việc nữa.",IF(LEFT(T3,3)="Gốc","Giấc ngủ lên "&amp;TEXT(E3,"0")&amp;" điểm. Nhưng "&amp;O3&amp;" đêm bạn ăn tối sau 20 giờ, và phần lớn đêm vỡ rơi vào những đêm đó. Mình ở lại thêm 7 ngày, chỉ dời bữa tối sớm hơn nhé.",IF(LEFT(T3,4)="Chưa","Giấc ngủ của bạn đang lên từ "&amp;TEXT(D3,"0")&amp;" lên "&amp;TEXT(E3,"0")&amp;" điểm, chưa đủ vững. Mình đi thêm 7 đêm nữa, không vội.",""))))))</f>
        <v>Giấc ngủ của bạn đã lên 67 điểm, nhưng tuần này bạn vẫn chỉ chấm sáng dậy trung bình 2.3 trên 5. Ngủ đủ mà vẫn mệt là chuyện của khí. Mình sang Hồi sinh lực nhé?</v>
      </c>
      <c r="V3" s="3" t="str">
        <f aca="false">IF(B3=0,"",IF(SUMPRODUCT(MAX(('Nhật ký'!$A$2:$A$281=$A3)*('Nhật ký'!$U$2:$U$281)))&gt;=Ngưỡng!$B$21,"Căng mức 5 liên tiếp, hỏi riêng; ","")&amp;IF(COUNTIFS('Nhật ký'!$A$2:$A$281,$A3,'Nhật ký'!$H$2:$H$281,"Lo hồi hộp")&gt;=Ngưỡng!$B$22,"Lo hồi hộp nhiều đêm, gợi ý người thật; ","")&amp;IF(SUMPRODUCT(MAX(('Nhật ký'!$A$2:$A$281=$A3)*('Nhật ký'!$V$2:$V$281)))&gt;=Ngưỡng!$B$23,"Tỉnh đêm kéo dài, gợi ý khám; ","")&amp;IF(SUMPRODUCT(MAX(('Nhật ký'!$A$2:$A$281=$A3)*('Nhật ký'!$W$2:$W$281)))&gt;=Ngưỡng!$B$24,"Thiếu dữ liệu nhiều ngày, hỏi một câu; ",""))</f>
        <v/>
      </c>
      <c r="W3" s="4" t="n">
        <f aca="false">COUNTIFS('Nhật ký'!$A$2:$A$281,$A3,'Nhật ký'!$J$2:$J$281,"Việc",'Nhật ký'!$Q$2:$Q$281,1)</f>
        <v>0</v>
      </c>
      <c r="X3" s="4" t="n">
        <f aca="false">COUNTIFS('Nhật ký'!$A$2:$A$281,$A3,'Nhật ký'!$J$2:$J$281,"Tiền",'Nhật ký'!$Q$2:$Q$281,1)</f>
        <v>0</v>
      </c>
      <c r="Y3" s="4" t="n">
        <f aca="false">COUNTIFS('Nhật ký'!$A$2:$A$281,$A3,'Nhật ký'!$J$2:$J$281,"Người",'Nhật ký'!$Q$2:$Q$281,1)</f>
        <v>0</v>
      </c>
      <c r="Z3" s="4" t="n">
        <f aca="false">COUNTIFS('Nhật ký'!$A$2:$A$281,$A3,'Nhật ký'!$J$2:$J$281,"Không rõ",'Nhật ký'!$Q$2:$Q$281,1)</f>
        <v>0</v>
      </c>
      <c r="AA3" s="17" t="n">
        <f aca="false">IFERROR(AVERAGEIFS('Nhật ký'!$X$2:$X$281,'Nhật ký'!$A$2:$A$281,$A3,'Nhật ký'!$C$2:$C$281,2),"")</f>
        <v>90.2857142857143</v>
      </c>
    </row>
    <row r="4" customFormat="false" ht="15" hidden="false" customHeight="false" outlineLevel="0" collapsed="false">
      <c r="A4" s="0" t="s">
        <v>83</v>
      </c>
      <c r="B4" s="4" t="n">
        <f aca="false">COUNTIFS('Nhật ký'!$A$2:$A$281,$A4,'Nhật ký'!$O$2:$O$281,1)</f>
        <v>0</v>
      </c>
      <c r="C4" s="4" t="n">
        <f aca="false">COUNTIFS('Nhật ký'!$A$2:$A$281,$A4,'Nhật ký'!$Q$2:$Q$281,1)</f>
        <v>0</v>
      </c>
      <c r="D4" s="17" t="str">
        <f aca="false">IFERROR(AVERAGEIFS('Nhật ký'!$N$2:$N$281,'Nhật ký'!$A$2:$A$281,$A4,'Nhật ký'!$C$2:$C$281,1),"")</f>
        <v/>
      </c>
      <c r="E4" s="17" t="str">
        <f aca="false">IFERROR(AVERAGEIFS('Nhật ký'!$N$2:$N$281,'Nhật ký'!$A$2:$A$281,$A4,'Nhật ký'!$C$2:$C$281,2),"")</f>
        <v/>
      </c>
      <c r="F4" s="17" t="str">
        <f aca="false">IF(OR(D4="",E4=""),"",E4-D4)</f>
        <v/>
      </c>
      <c r="G4" s="4" t="n">
        <f aca="false">COUNTIFS('Nhật ký'!$A$2:$A$281,$A4,'Nhật ký'!$T$2:$T$281,1,'Nhật ký'!$C$2:$C$281,2)</f>
        <v>0</v>
      </c>
      <c r="H4" s="4" t="str">
        <f aca="false">IF(F4="","",IF(AND(F4&gt;=Ngưỡng!$B$11,G4&gt;=Ngưỡng!$B$12),"Có","Chưa"))</f>
        <v/>
      </c>
      <c r="I4" s="4" t="n">
        <f aca="false">COUNTIFS('Nhật ký'!$A$2:$A$281,$A4,'Nhật ký'!$P$2:$P$281,1)</f>
        <v>0</v>
      </c>
      <c r="J4" s="4" t="n">
        <f aca="false">COUNTIFS('Nhật ký'!$A$2:$A$281,$A4,'Nhật ký'!$P$2:$P$281,1,'Nhật ký'!$Q$2:$Q$281,1)</f>
        <v>0</v>
      </c>
      <c r="K4" s="18" t="n">
        <f aca="false">IFERROR(J4/C4,0)</f>
        <v>0</v>
      </c>
      <c r="L4" s="18" t="n">
        <f aca="false">IFERROR(COUNTIFS('Nhật ký'!$A$2:$A$281,$A4,'Nhật ký'!$P$2:$P$281,1,'Nhật ký'!$Q$2:$Q$281,0)/COUNTIFS('Nhật ký'!$A$2:$A$281,$A4,'Nhật ký'!$Q$2:$Q$281,0),0)</f>
        <v>0</v>
      </c>
      <c r="M4" s="18" t="n">
        <f aca="false">K4-L4</f>
        <v>0</v>
      </c>
      <c r="N4" s="18" t="n">
        <f aca="false">IFERROR(COUNTIFS('Nhật ký'!$A$2:$A$281,$A4,'Nhật ký'!$R$2:$R$281,1)/14,0)</f>
        <v>0</v>
      </c>
      <c r="O4" s="4" t="n">
        <f aca="false">COUNTIFS('Nhật ký'!$A$2:$A$281,$A4,'Nhật ký'!$S$2:$S$281,1)</f>
        <v>0</v>
      </c>
      <c r="P4" s="18" t="n">
        <f aca="false">IFERROR(COUNTIFS('Nhật ký'!$A$2:$A$281,$A4,'Nhật ký'!$P$2:$P$281,1,'Nhật ký'!$S$2:$S$281,1)/O4,0)</f>
        <v>0</v>
      </c>
      <c r="Q4" s="17" t="str">
        <f aca="false">IFERROR(AVERAGEIFS('Nhật ký'!$G$2:$G$281,'Nhật ký'!$A$2:$A$281,$A4,'Nhật ký'!$C$2:$C$281,2),"")</f>
        <v/>
      </c>
      <c r="R4" s="4" t="n">
        <f aca="false">COUNTIFS('Nhật ký'!$A$2:$A$281,$A4,'Nhật ký'!$Q$2:$Q$281,1,'Nhật ký'!$C$2:$C$281,2)</f>
        <v>0</v>
      </c>
      <c r="S4" s="4" t="str">
        <f aca="false">IF(MAX(W4:Z4)=0,"chưa rõ",INDEX(Ngưỡng!$D$3:$G$3,MATCH(MAX(W4:Z4),W4:Z4,0)))</f>
        <v>chưa rõ</v>
      </c>
      <c r="T4" s="2" t="str">
        <f aca="false">IF(B4=0,"",IF(B4&lt;Ngưỡng!$B$8,"Chưa đủ dữ liệu: tổng kết ngủ, thêm 7 ngày",IF(H4&lt;&gt;"Có",IF(AND(ISNUMBER(AA4),AA4&gt;=Ngưỡng!$B$27,ISNUMBER(Q4),Q4&lt;Ngưỡng!$B$19),"Mời Hồi sinh lực","Chưa bám rễ: gia hạn 7 ngày"),IF(AND(O4&gt;=Ngưỡng!$B$26,P4&gt;K4),"Gốc tiêu hóa: ở lại Ngủ 7 ngày, dời bữa tối",IF(AND(C4&gt;=Ngưỡng!$B$9,M4&gt;=Ngưỡng!$B$14,K4&gt;=Ngưỡng!$B$15,OR(N4&gt;=Ngưỡng!$B$16,R4&gt;=Ngưỡng!$B$17)),"Mời Xả áp lực",IF(AND(ISNUMBER(Q4),Q4&lt;Ngưỡng!$B$19),"Mời Hồi sinh lực","Vào Cổng Khỏe"))))))</f>
        <v/>
      </c>
      <c r="U4" s="3" t="str">
        <f aca="false">IF(T4="","",IF(T4="Mời Xả áp lực","14 đêm qua, giấc ngủ của bạn lên từ "&amp;TEXT(D4,"0")&amp;" lên "&amp;TEXT(E4,"0")&amp;" điểm. Nhưng "&amp;J4&amp;" trong "&amp;I4&amp;" đêm vỡ rơi đúng vào ngày bạn chấm căng từ 4, và phần lớn là căng vì "&amp;S4&amp;". Gốc rễ giờ nằm ở ban ngày, mình sang Xả áp lực nhé?",IF(T4="Mời Hồi sinh lực","Giấc ngủ của bạn đã lên "&amp;TEXT(E4,"0")&amp;" điểm, nhưng tuần này bạn vẫn chỉ chấm sáng dậy trung bình "&amp;TEXT(Q4,"0.0")&amp;" trên 5. Ngủ đủ mà vẫn mệt là chuyện của khí. Mình sang Hồi sinh lực nhé?",IF(T4="Vào Cổng Khỏe","Giấc ngủ của bạn đã vững: "&amp;TEXT(E4,"0")&amp;" điểm, "&amp;G4&amp;" đêm đạt ngưỡng tuần này. Cơ thể bạn đã yên. 30 ngày tới mình chỉ chấm điểm sáng, không giao việc nữa.",IF(LEFT(T4,3)="Gốc","Giấc ngủ lên "&amp;TEXT(E4,"0")&amp;" điểm. Nhưng "&amp;O4&amp;" đêm bạn ăn tối sau 20 giờ, và phần lớn đêm vỡ rơi vào những đêm đó. Mình ở lại thêm 7 ngày, chỉ dời bữa tối sớm hơn nhé.",IF(LEFT(T4,4)="Chưa","Giấc ngủ của bạn đang lên từ "&amp;TEXT(D4,"0")&amp;" lên "&amp;TEXT(E4,"0")&amp;" điểm, chưa đủ vững. Mình đi thêm 7 đêm nữa, không vội.",""))))))</f>
        <v/>
      </c>
      <c r="V4" s="3" t="str">
        <f aca="false">IF(B4=0,"",IF(SUMPRODUCT(MAX(('Nhật ký'!$A$2:$A$281=$A4)*('Nhật ký'!$U$2:$U$281)))&gt;=Ngưỡng!$B$21,"Căng mức 5 liên tiếp, hỏi riêng; ","")&amp;IF(COUNTIFS('Nhật ký'!$A$2:$A$281,$A4,'Nhật ký'!$H$2:$H$281,"Lo hồi hộp")&gt;=Ngưỡng!$B$22,"Lo hồi hộp nhiều đêm, gợi ý người thật; ","")&amp;IF(SUMPRODUCT(MAX(('Nhật ký'!$A$2:$A$281=$A4)*('Nhật ký'!$V$2:$V$281)))&gt;=Ngưỡng!$B$23,"Tỉnh đêm kéo dài, gợi ý khám; ","")&amp;IF(SUMPRODUCT(MAX(('Nhật ký'!$A$2:$A$281=$A4)*('Nhật ký'!$W$2:$W$281)))&gt;=Ngưỡng!$B$24,"Thiếu dữ liệu nhiều ngày, hỏi một câu; ",""))</f>
        <v/>
      </c>
      <c r="W4" s="4" t="n">
        <f aca="false">COUNTIFS('Nhật ký'!$A$2:$A$281,$A4,'Nhật ký'!$J$2:$J$281,"Việc",'Nhật ký'!$Q$2:$Q$281,1)</f>
        <v>0</v>
      </c>
      <c r="X4" s="4" t="n">
        <f aca="false">COUNTIFS('Nhật ký'!$A$2:$A$281,$A4,'Nhật ký'!$J$2:$J$281,"Tiền",'Nhật ký'!$Q$2:$Q$281,1)</f>
        <v>0</v>
      </c>
      <c r="Y4" s="4" t="n">
        <f aca="false">COUNTIFS('Nhật ký'!$A$2:$A$281,$A4,'Nhật ký'!$J$2:$J$281,"Người",'Nhật ký'!$Q$2:$Q$281,1)</f>
        <v>0</v>
      </c>
      <c r="Z4" s="4" t="n">
        <f aca="false">COUNTIFS('Nhật ký'!$A$2:$A$281,$A4,'Nhật ký'!$J$2:$J$281,"Không rõ",'Nhật ký'!$Q$2:$Q$281,1)</f>
        <v>0</v>
      </c>
      <c r="AA4" s="17" t="str">
        <f aca="false">IFERROR(AVERAGEIFS('Nhật ký'!$X$2:$X$281,'Nhật ký'!$A$2:$A$281,$A4,'Nhật ký'!$C$2:$C$281,2),"")</f>
        <v/>
      </c>
    </row>
    <row r="5" customFormat="false" ht="15" hidden="false" customHeight="false" outlineLevel="0" collapsed="false">
      <c r="A5" s="0" t="s">
        <v>84</v>
      </c>
      <c r="B5" s="4" t="n">
        <f aca="false">COUNTIFS('Nhật ký'!$A$2:$A$281,$A5,'Nhật ký'!$O$2:$O$281,1)</f>
        <v>0</v>
      </c>
      <c r="C5" s="4" t="n">
        <f aca="false">COUNTIFS('Nhật ký'!$A$2:$A$281,$A5,'Nhật ký'!$Q$2:$Q$281,1)</f>
        <v>0</v>
      </c>
      <c r="D5" s="17" t="str">
        <f aca="false">IFERROR(AVERAGEIFS('Nhật ký'!$N$2:$N$281,'Nhật ký'!$A$2:$A$281,$A5,'Nhật ký'!$C$2:$C$281,1),"")</f>
        <v/>
      </c>
      <c r="E5" s="17" t="str">
        <f aca="false">IFERROR(AVERAGEIFS('Nhật ký'!$N$2:$N$281,'Nhật ký'!$A$2:$A$281,$A5,'Nhật ký'!$C$2:$C$281,2),"")</f>
        <v/>
      </c>
      <c r="F5" s="17" t="str">
        <f aca="false">IF(OR(D5="",E5=""),"",E5-D5)</f>
        <v/>
      </c>
      <c r="G5" s="4" t="n">
        <f aca="false">COUNTIFS('Nhật ký'!$A$2:$A$281,$A5,'Nhật ký'!$T$2:$T$281,1,'Nhật ký'!$C$2:$C$281,2)</f>
        <v>0</v>
      </c>
      <c r="H5" s="4" t="str">
        <f aca="false">IF(F5="","",IF(AND(F5&gt;=Ngưỡng!$B$11,G5&gt;=Ngưỡng!$B$12),"Có","Chưa"))</f>
        <v/>
      </c>
      <c r="I5" s="4" t="n">
        <f aca="false">COUNTIFS('Nhật ký'!$A$2:$A$281,$A5,'Nhật ký'!$P$2:$P$281,1)</f>
        <v>0</v>
      </c>
      <c r="J5" s="4" t="n">
        <f aca="false">COUNTIFS('Nhật ký'!$A$2:$A$281,$A5,'Nhật ký'!$P$2:$P$281,1,'Nhật ký'!$Q$2:$Q$281,1)</f>
        <v>0</v>
      </c>
      <c r="K5" s="18" t="n">
        <f aca="false">IFERROR(J5/C5,0)</f>
        <v>0</v>
      </c>
      <c r="L5" s="18" t="n">
        <f aca="false">IFERROR(COUNTIFS('Nhật ký'!$A$2:$A$281,$A5,'Nhật ký'!$P$2:$P$281,1,'Nhật ký'!$Q$2:$Q$281,0)/COUNTIFS('Nhật ký'!$A$2:$A$281,$A5,'Nhật ký'!$Q$2:$Q$281,0),0)</f>
        <v>0</v>
      </c>
      <c r="M5" s="18" t="n">
        <f aca="false">K5-L5</f>
        <v>0</v>
      </c>
      <c r="N5" s="18" t="n">
        <f aca="false">IFERROR(COUNTIFS('Nhật ký'!$A$2:$A$281,$A5,'Nhật ký'!$R$2:$R$281,1)/14,0)</f>
        <v>0</v>
      </c>
      <c r="O5" s="4" t="n">
        <f aca="false">COUNTIFS('Nhật ký'!$A$2:$A$281,$A5,'Nhật ký'!$S$2:$S$281,1)</f>
        <v>0</v>
      </c>
      <c r="P5" s="18" t="n">
        <f aca="false">IFERROR(COUNTIFS('Nhật ký'!$A$2:$A$281,$A5,'Nhật ký'!$P$2:$P$281,1,'Nhật ký'!$S$2:$S$281,1)/O5,0)</f>
        <v>0</v>
      </c>
      <c r="Q5" s="17" t="str">
        <f aca="false">IFERROR(AVERAGEIFS('Nhật ký'!$G$2:$G$281,'Nhật ký'!$A$2:$A$281,$A5,'Nhật ký'!$C$2:$C$281,2),"")</f>
        <v/>
      </c>
      <c r="R5" s="4" t="n">
        <f aca="false">COUNTIFS('Nhật ký'!$A$2:$A$281,$A5,'Nhật ký'!$Q$2:$Q$281,1,'Nhật ký'!$C$2:$C$281,2)</f>
        <v>0</v>
      </c>
      <c r="S5" s="4" t="str">
        <f aca="false">IF(MAX(W5:Z5)=0,"chưa rõ",INDEX(Ngưỡng!$D$3:$G$3,MATCH(MAX(W5:Z5),W5:Z5,0)))</f>
        <v>chưa rõ</v>
      </c>
      <c r="T5" s="2" t="str">
        <f aca="false">IF(B5=0,"",IF(B5&lt;Ngưỡng!$B$8,"Chưa đủ dữ liệu: tổng kết ngủ, thêm 7 ngày",IF(H5&lt;&gt;"Có",IF(AND(ISNUMBER(AA5),AA5&gt;=Ngưỡng!$B$27,ISNUMBER(Q5),Q5&lt;Ngưỡng!$B$19),"Mời Hồi sinh lực","Chưa bám rễ: gia hạn 7 ngày"),IF(AND(O5&gt;=Ngưỡng!$B$26,P5&gt;K5),"Gốc tiêu hóa: ở lại Ngủ 7 ngày, dời bữa tối",IF(AND(C5&gt;=Ngưỡng!$B$9,M5&gt;=Ngưỡng!$B$14,K5&gt;=Ngưỡng!$B$15,OR(N5&gt;=Ngưỡng!$B$16,R5&gt;=Ngưỡng!$B$17)),"Mời Xả áp lực",IF(AND(ISNUMBER(Q5),Q5&lt;Ngưỡng!$B$19),"Mời Hồi sinh lực","Vào Cổng Khỏe"))))))</f>
        <v/>
      </c>
      <c r="U5" s="3" t="str">
        <f aca="false">IF(T5="","",IF(T5="Mời Xả áp lực","14 đêm qua, giấc ngủ của bạn lên từ "&amp;TEXT(D5,"0")&amp;" lên "&amp;TEXT(E5,"0")&amp;" điểm. Nhưng "&amp;J5&amp;" trong "&amp;I5&amp;" đêm vỡ rơi đúng vào ngày bạn chấm căng từ 4, và phần lớn là căng vì "&amp;S5&amp;". Gốc rễ giờ nằm ở ban ngày, mình sang Xả áp lực nhé?",IF(T5="Mời Hồi sinh lực","Giấc ngủ của bạn đã lên "&amp;TEXT(E5,"0")&amp;" điểm, nhưng tuần này bạn vẫn chỉ chấm sáng dậy trung bình "&amp;TEXT(Q5,"0.0")&amp;" trên 5. Ngủ đủ mà vẫn mệt là chuyện của khí. Mình sang Hồi sinh lực nhé?",IF(T5="Vào Cổng Khỏe","Giấc ngủ của bạn đã vững: "&amp;TEXT(E5,"0")&amp;" điểm, "&amp;G5&amp;" đêm đạt ngưỡng tuần này. Cơ thể bạn đã yên. 30 ngày tới mình chỉ chấm điểm sáng, không giao việc nữa.",IF(LEFT(T5,3)="Gốc","Giấc ngủ lên "&amp;TEXT(E5,"0")&amp;" điểm. Nhưng "&amp;O5&amp;" đêm bạn ăn tối sau 20 giờ, và phần lớn đêm vỡ rơi vào những đêm đó. Mình ở lại thêm 7 ngày, chỉ dời bữa tối sớm hơn nhé.",IF(LEFT(T5,4)="Chưa","Giấc ngủ của bạn đang lên từ "&amp;TEXT(D5,"0")&amp;" lên "&amp;TEXT(E5,"0")&amp;" điểm, chưa đủ vững. Mình đi thêm 7 đêm nữa, không vội.",""))))))</f>
        <v/>
      </c>
      <c r="V5" s="3" t="str">
        <f aca="false">IF(B5=0,"",IF(SUMPRODUCT(MAX(('Nhật ký'!$A$2:$A$281=$A5)*('Nhật ký'!$U$2:$U$281)))&gt;=Ngưỡng!$B$21,"Căng mức 5 liên tiếp, hỏi riêng; ","")&amp;IF(COUNTIFS('Nhật ký'!$A$2:$A$281,$A5,'Nhật ký'!$H$2:$H$281,"Lo hồi hộp")&gt;=Ngưỡng!$B$22,"Lo hồi hộp nhiều đêm, gợi ý người thật; ","")&amp;IF(SUMPRODUCT(MAX(('Nhật ký'!$A$2:$A$281=$A5)*('Nhật ký'!$V$2:$V$281)))&gt;=Ngưỡng!$B$23,"Tỉnh đêm kéo dài, gợi ý khám; ","")&amp;IF(SUMPRODUCT(MAX(('Nhật ký'!$A$2:$A$281=$A5)*('Nhật ký'!$W$2:$W$281)))&gt;=Ngưỡng!$B$24,"Thiếu dữ liệu nhiều ngày, hỏi một câu; ",""))</f>
        <v/>
      </c>
      <c r="W5" s="4" t="n">
        <f aca="false">COUNTIFS('Nhật ký'!$A$2:$A$281,$A5,'Nhật ký'!$J$2:$J$281,"Việc",'Nhật ký'!$Q$2:$Q$281,1)</f>
        <v>0</v>
      </c>
      <c r="X5" s="4" t="n">
        <f aca="false">COUNTIFS('Nhật ký'!$A$2:$A$281,$A5,'Nhật ký'!$J$2:$J$281,"Tiền",'Nhật ký'!$Q$2:$Q$281,1)</f>
        <v>0</v>
      </c>
      <c r="Y5" s="4" t="n">
        <f aca="false">COUNTIFS('Nhật ký'!$A$2:$A$281,$A5,'Nhật ký'!$J$2:$J$281,"Người",'Nhật ký'!$Q$2:$Q$281,1)</f>
        <v>0</v>
      </c>
      <c r="Z5" s="4" t="n">
        <f aca="false">COUNTIFS('Nhật ký'!$A$2:$A$281,$A5,'Nhật ký'!$J$2:$J$281,"Không rõ",'Nhật ký'!$Q$2:$Q$281,1)</f>
        <v>0</v>
      </c>
      <c r="AA5" s="17" t="str">
        <f aca="false">IFERROR(AVERAGEIFS('Nhật ký'!$X$2:$X$281,'Nhật ký'!$A$2:$A$281,$A5,'Nhật ký'!$C$2:$C$281,2),"")</f>
        <v/>
      </c>
    </row>
    <row r="6" customFormat="false" ht="15" hidden="false" customHeight="false" outlineLevel="0" collapsed="false">
      <c r="A6" s="0" t="s">
        <v>85</v>
      </c>
      <c r="B6" s="4" t="n">
        <f aca="false">COUNTIFS('Nhật ký'!$A$2:$A$281,$A6,'Nhật ký'!$O$2:$O$281,1)</f>
        <v>0</v>
      </c>
      <c r="C6" s="4" t="n">
        <f aca="false">COUNTIFS('Nhật ký'!$A$2:$A$281,$A6,'Nhật ký'!$Q$2:$Q$281,1)</f>
        <v>0</v>
      </c>
      <c r="D6" s="17" t="str">
        <f aca="false">IFERROR(AVERAGEIFS('Nhật ký'!$N$2:$N$281,'Nhật ký'!$A$2:$A$281,$A6,'Nhật ký'!$C$2:$C$281,1),"")</f>
        <v/>
      </c>
      <c r="E6" s="17" t="str">
        <f aca="false">IFERROR(AVERAGEIFS('Nhật ký'!$N$2:$N$281,'Nhật ký'!$A$2:$A$281,$A6,'Nhật ký'!$C$2:$C$281,2),"")</f>
        <v/>
      </c>
      <c r="F6" s="17" t="str">
        <f aca="false">IF(OR(D6="",E6=""),"",E6-D6)</f>
        <v/>
      </c>
      <c r="G6" s="4" t="n">
        <f aca="false">COUNTIFS('Nhật ký'!$A$2:$A$281,$A6,'Nhật ký'!$T$2:$T$281,1,'Nhật ký'!$C$2:$C$281,2)</f>
        <v>0</v>
      </c>
      <c r="H6" s="4" t="str">
        <f aca="false">IF(F6="","",IF(AND(F6&gt;=Ngưỡng!$B$11,G6&gt;=Ngưỡng!$B$12),"Có","Chưa"))</f>
        <v/>
      </c>
      <c r="I6" s="4" t="n">
        <f aca="false">COUNTIFS('Nhật ký'!$A$2:$A$281,$A6,'Nhật ký'!$P$2:$P$281,1)</f>
        <v>0</v>
      </c>
      <c r="J6" s="4" t="n">
        <f aca="false">COUNTIFS('Nhật ký'!$A$2:$A$281,$A6,'Nhật ký'!$P$2:$P$281,1,'Nhật ký'!$Q$2:$Q$281,1)</f>
        <v>0</v>
      </c>
      <c r="K6" s="18" t="n">
        <f aca="false">IFERROR(J6/C6,0)</f>
        <v>0</v>
      </c>
      <c r="L6" s="18" t="n">
        <f aca="false">IFERROR(COUNTIFS('Nhật ký'!$A$2:$A$281,$A6,'Nhật ký'!$P$2:$P$281,1,'Nhật ký'!$Q$2:$Q$281,0)/COUNTIFS('Nhật ký'!$A$2:$A$281,$A6,'Nhật ký'!$Q$2:$Q$281,0),0)</f>
        <v>0</v>
      </c>
      <c r="M6" s="18" t="n">
        <f aca="false">K6-L6</f>
        <v>0</v>
      </c>
      <c r="N6" s="18" t="n">
        <f aca="false">IFERROR(COUNTIFS('Nhật ký'!$A$2:$A$281,$A6,'Nhật ký'!$R$2:$R$281,1)/14,0)</f>
        <v>0</v>
      </c>
      <c r="O6" s="4" t="n">
        <f aca="false">COUNTIFS('Nhật ký'!$A$2:$A$281,$A6,'Nhật ký'!$S$2:$S$281,1)</f>
        <v>0</v>
      </c>
      <c r="P6" s="18" t="n">
        <f aca="false">IFERROR(COUNTIFS('Nhật ký'!$A$2:$A$281,$A6,'Nhật ký'!$P$2:$P$281,1,'Nhật ký'!$S$2:$S$281,1)/O6,0)</f>
        <v>0</v>
      </c>
      <c r="Q6" s="17" t="str">
        <f aca="false">IFERROR(AVERAGEIFS('Nhật ký'!$G$2:$G$281,'Nhật ký'!$A$2:$A$281,$A6,'Nhật ký'!$C$2:$C$281,2),"")</f>
        <v/>
      </c>
      <c r="R6" s="4" t="n">
        <f aca="false">COUNTIFS('Nhật ký'!$A$2:$A$281,$A6,'Nhật ký'!$Q$2:$Q$281,1,'Nhật ký'!$C$2:$C$281,2)</f>
        <v>0</v>
      </c>
      <c r="S6" s="4" t="str">
        <f aca="false">IF(MAX(W6:Z6)=0,"chưa rõ",INDEX(Ngưỡng!$D$3:$G$3,MATCH(MAX(W6:Z6),W6:Z6,0)))</f>
        <v>chưa rõ</v>
      </c>
      <c r="T6" s="2" t="str">
        <f aca="false">IF(B6=0,"",IF(B6&lt;Ngưỡng!$B$8,"Chưa đủ dữ liệu: tổng kết ngủ, thêm 7 ngày",IF(H6&lt;&gt;"Có",IF(AND(ISNUMBER(AA6),AA6&gt;=Ngưỡng!$B$27,ISNUMBER(Q6),Q6&lt;Ngưỡng!$B$19),"Mời Hồi sinh lực","Chưa bám rễ: gia hạn 7 ngày"),IF(AND(O6&gt;=Ngưỡng!$B$26,P6&gt;K6),"Gốc tiêu hóa: ở lại Ngủ 7 ngày, dời bữa tối",IF(AND(C6&gt;=Ngưỡng!$B$9,M6&gt;=Ngưỡng!$B$14,K6&gt;=Ngưỡng!$B$15,OR(N6&gt;=Ngưỡng!$B$16,R6&gt;=Ngưỡng!$B$17)),"Mời Xả áp lực",IF(AND(ISNUMBER(Q6),Q6&lt;Ngưỡng!$B$19),"Mời Hồi sinh lực","Vào Cổng Khỏe"))))))</f>
        <v/>
      </c>
      <c r="U6" s="3" t="str">
        <f aca="false">IF(T6="","",IF(T6="Mời Xả áp lực","14 đêm qua, giấc ngủ của bạn lên từ "&amp;TEXT(D6,"0")&amp;" lên "&amp;TEXT(E6,"0")&amp;" điểm. Nhưng "&amp;J6&amp;" trong "&amp;I6&amp;" đêm vỡ rơi đúng vào ngày bạn chấm căng từ 4, và phần lớn là căng vì "&amp;S6&amp;". Gốc rễ giờ nằm ở ban ngày, mình sang Xả áp lực nhé?",IF(T6="Mời Hồi sinh lực","Giấc ngủ của bạn đã lên "&amp;TEXT(E6,"0")&amp;" điểm, nhưng tuần này bạn vẫn chỉ chấm sáng dậy trung bình "&amp;TEXT(Q6,"0.0")&amp;" trên 5. Ngủ đủ mà vẫn mệt là chuyện của khí. Mình sang Hồi sinh lực nhé?",IF(T6="Vào Cổng Khỏe","Giấc ngủ của bạn đã vững: "&amp;TEXT(E6,"0")&amp;" điểm, "&amp;G6&amp;" đêm đạt ngưỡng tuần này. Cơ thể bạn đã yên. 30 ngày tới mình chỉ chấm điểm sáng, không giao việc nữa.",IF(LEFT(T6,3)="Gốc","Giấc ngủ lên "&amp;TEXT(E6,"0")&amp;" điểm. Nhưng "&amp;O6&amp;" đêm bạn ăn tối sau 20 giờ, và phần lớn đêm vỡ rơi vào những đêm đó. Mình ở lại thêm 7 ngày, chỉ dời bữa tối sớm hơn nhé.",IF(LEFT(T6,4)="Chưa","Giấc ngủ của bạn đang lên từ "&amp;TEXT(D6,"0")&amp;" lên "&amp;TEXT(E6,"0")&amp;" điểm, chưa đủ vững. Mình đi thêm 7 đêm nữa, không vội.",""))))))</f>
        <v/>
      </c>
      <c r="V6" s="3" t="str">
        <f aca="false">IF(B6=0,"",IF(SUMPRODUCT(MAX(('Nhật ký'!$A$2:$A$281=$A6)*('Nhật ký'!$U$2:$U$281)))&gt;=Ngưỡng!$B$21,"Căng mức 5 liên tiếp, hỏi riêng; ","")&amp;IF(COUNTIFS('Nhật ký'!$A$2:$A$281,$A6,'Nhật ký'!$H$2:$H$281,"Lo hồi hộp")&gt;=Ngưỡng!$B$22,"Lo hồi hộp nhiều đêm, gợi ý người thật; ","")&amp;IF(SUMPRODUCT(MAX(('Nhật ký'!$A$2:$A$281=$A6)*('Nhật ký'!$V$2:$V$281)))&gt;=Ngưỡng!$B$23,"Tỉnh đêm kéo dài, gợi ý khám; ","")&amp;IF(SUMPRODUCT(MAX(('Nhật ký'!$A$2:$A$281=$A6)*('Nhật ký'!$W$2:$W$281)))&gt;=Ngưỡng!$B$24,"Thiếu dữ liệu nhiều ngày, hỏi một câu; ",""))</f>
        <v/>
      </c>
      <c r="W6" s="4" t="n">
        <f aca="false">COUNTIFS('Nhật ký'!$A$2:$A$281,$A6,'Nhật ký'!$J$2:$J$281,"Việc",'Nhật ký'!$Q$2:$Q$281,1)</f>
        <v>0</v>
      </c>
      <c r="X6" s="4" t="n">
        <f aca="false">COUNTIFS('Nhật ký'!$A$2:$A$281,$A6,'Nhật ký'!$J$2:$J$281,"Tiền",'Nhật ký'!$Q$2:$Q$281,1)</f>
        <v>0</v>
      </c>
      <c r="Y6" s="4" t="n">
        <f aca="false">COUNTIFS('Nhật ký'!$A$2:$A$281,$A6,'Nhật ký'!$J$2:$J$281,"Người",'Nhật ký'!$Q$2:$Q$281,1)</f>
        <v>0</v>
      </c>
      <c r="Z6" s="4" t="n">
        <f aca="false">COUNTIFS('Nhật ký'!$A$2:$A$281,$A6,'Nhật ký'!$J$2:$J$281,"Không rõ",'Nhật ký'!$Q$2:$Q$281,1)</f>
        <v>0</v>
      </c>
      <c r="AA6" s="17" t="str">
        <f aca="false">IFERROR(AVERAGEIFS('Nhật ký'!$X$2:$X$281,'Nhật ký'!$A$2:$A$281,$A6,'Nhật ký'!$C$2:$C$281,2),"")</f>
        <v/>
      </c>
    </row>
    <row r="7" customFormat="false" ht="15" hidden="false" customHeight="false" outlineLevel="0" collapsed="false">
      <c r="A7" s="0" t="s">
        <v>86</v>
      </c>
      <c r="B7" s="4" t="n">
        <f aca="false">COUNTIFS('Nhật ký'!$A$2:$A$281,$A7,'Nhật ký'!$O$2:$O$281,1)</f>
        <v>0</v>
      </c>
      <c r="C7" s="4" t="n">
        <f aca="false">COUNTIFS('Nhật ký'!$A$2:$A$281,$A7,'Nhật ký'!$Q$2:$Q$281,1)</f>
        <v>0</v>
      </c>
      <c r="D7" s="17" t="str">
        <f aca="false">IFERROR(AVERAGEIFS('Nhật ký'!$N$2:$N$281,'Nhật ký'!$A$2:$A$281,$A7,'Nhật ký'!$C$2:$C$281,1),"")</f>
        <v/>
      </c>
      <c r="E7" s="17" t="str">
        <f aca="false">IFERROR(AVERAGEIFS('Nhật ký'!$N$2:$N$281,'Nhật ký'!$A$2:$A$281,$A7,'Nhật ký'!$C$2:$C$281,2),"")</f>
        <v/>
      </c>
      <c r="F7" s="17" t="str">
        <f aca="false">IF(OR(D7="",E7=""),"",E7-D7)</f>
        <v/>
      </c>
      <c r="G7" s="4" t="n">
        <f aca="false">COUNTIFS('Nhật ký'!$A$2:$A$281,$A7,'Nhật ký'!$T$2:$T$281,1,'Nhật ký'!$C$2:$C$281,2)</f>
        <v>0</v>
      </c>
      <c r="H7" s="4" t="str">
        <f aca="false">IF(F7="","",IF(AND(F7&gt;=Ngưỡng!$B$11,G7&gt;=Ngưỡng!$B$12),"Có","Chưa"))</f>
        <v/>
      </c>
      <c r="I7" s="4" t="n">
        <f aca="false">COUNTIFS('Nhật ký'!$A$2:$A$281,$A7,'Nhật ký'!$P$2:$P$281,1)</f>
        <v>0</v>
      </c>
      <c r="J7" s="4" t="n">
        <f aca="false">COUNTIFS('Nhật ký'!$A$2:$A$281,$A7,'Nhật ký'!$P$2:$P$281,1,'Nhật ký'!$Q$2:$Q$281,1)</f>
        <v>0</v>
      </c>
      <c r="K7" s="18" t="n">
        <f aca="false">IFERROR(J7/C7,0)</f>
        <v>0</v>
      </c>
      <c r="L7" s="18" t="n">
        <f aca="false">IFERROR(COUNTIFS('Nhật ký'!$A$2:$A$281,$A7,'Nhật ký'!$P$2:$P$281,1,'Nhật ký'!$Q$2:$Q$281,0)/COUNTIFS('Nhật ký'!$A$2:$A$281,$A7,'Nhật ký'!$Q$2:$Q$281,0),0)</f>
        <v>0</v>
      </c>
      <c r="M7" s="18" t="n">
        <f aca="false">K7-L7</f>
        <v>0</v>
      </c>
      <c r="N7" s="18" t="n">
        <f aca="false">IFERROR(COUNTIFS('Nhật ký'!$A$2:$A$281,$A7,'Nhật ký'!$R$2:$R$281,1)/14,0)</f>
        <v>0</v>
      </c>
      <c r="O7" s="4" t="n">
        <f aca="false">COUNTIFS('Nhật ký'!$A$2:$A$281,$A7,'Nhật ký'!$S$2:$S$281,1)</f>
        <v>0</v>
      </c>
      <c r="P7" s="18" t="n">
        <f aca="false">IFERROR(COUNTIFS('Nhật ký'!$A$2:$A$281,$A7,'Nhật ký'!$P$2:$P$281,1,'Nhật ký'!$S$2:$S$281,1)/O7,0)</f>
        <v>0</v>
      </c>
      <c r="Q7" s="17" t="str">
        <f aca="false">IFERROR(AVERAGEIFS('Nhật ký'!$G$2:$G$281,'Nhật ký'!$A$2:$A$281,$A7,'Nhật ký'!$C$2:$C$281,2),"")</f>
        <v/>
      </c>
      <c r="R7" s="4" t="n">
        <f aca="false">COUNTIFS('Nhật ký'!$A$2:$A$281,$A7,'Nhật ký'!$Q$2:$Q$281,1,'Nhật ký'!$C$2:$C$281,2)</f>
        <v>0</v>
      </c>
      <c r="S7" s="4" t="str">
        <f aca="false">IF(MAX(W7:Z7)=0,"chưa rõ",INDEX(Ngưỡng!$D$3:$G$3,MATCH(MAX(W7:Z7),W7:Z7,0)))</f>
        <v>chưa rõ</v>
      </c>
      <c r="T7" s="2" t="str">
        <f aca="false">IF(B7=0,"",IF(B7&lt;Ngưỡng!$B$8,"Chưa đủ dữ liệu: tổng kết ngủ, thêm 7 ngày",IF(H7&lt;&gt;"Có",IF(AND(ISNUMBER(AA7),AA7&gt;=Ngưỡng!$B$27,ISNUMBER(Q7),Q7&lt;Ngưỡng!$B$19),"Mời Hồi sinh lực","Chưa bám rễ: gia hạn 7 ngày"),IF(AND(O7&gt;=Ngưỡng!$B$26,P7&gt;K7),"Gốc tiêu hóa: ở lại Ngủ 7 ngày, dời bữa tối",IF(AND(C7&gt;=Ngưỡng!$B$9,M7&gt;=Ngưỡng!$B$14,K7&gt;=Ngưỡng!$B$15,OR(N7&gt;=Ngưỡng!$B$16,R7&gt;=Ngưỡng!$B$17)),"Mời Xả áp lực",IF(AND(ISNUMBER(Q7),Q7&lt;Ngưỡng!$B$19),"Mời Hồi sinh lực","Vào Cổng Khỏe"))))))</f>
        <v/>
      </c>
      <c r="U7" s="3" t="str">
        <f aca="false">IF(T7="","",IF(T7="Mời Xả áp lực","14 đêm qua, giấc ngủ của bạn lên từ "&amp;TEXT(D7,"0")&amp;" lên "&amp;TEXT(E7,"0")&amp;" điểm. Nhưng "&amp;J7&amp;" trong "&amp;I7&amp;" đêm vỡ rơi đúng vào ngày bạn chấm căng từ 4, và phần lớn là căng vì "&amp;S7&amp;". Gốc rễ giờ nằm ở ban ngày, mình sang Xả áp lực nhé?",IF(T7="Mời Hồi sinh lực","Giấc ngủ của bạn đã lên "&amp;TEXT(E7,"0")&amp;" điểm, nhưng tuần này bạn vẫn chỉ chấm sáng dậy trung bình "&amp;TEXT(Q7,"0.0")&amp;" trên 5. Ngủ đủ mà vẫn mệt là chuyện của khí. Mình sang Hồi sinh lực nhé?",IF(T7="Vào Cổng Khỏe","Giấc ngủ của bạn đã vững: "&amp;TEXT(E7,"0")&amp;" điểm, "&amp;G7&amp;" đêm đạt ngưỡng tuần này. Cơ thể bạn đã yên. 30 ngày tới mình chỉ chấm điểm sáng, không giao việc nữa.",IF(LEFT(T7,3)="Gốc","Giấc ngủ lên "&amp;TEXT(E7,"0")&amp;" điểm. Nhưng "&amp;O7&amp;" đêm bạn ăn tối sau 20 giờ, và phần lớn đêm vỡ rơi vào những đêm đó. Mình ở lại thêm 7 ngày, chỉ dời bữa tối sớm hơn nhé.",IF(LEFT(T7,4)="Chưa","Giấc ngủ của bạn đang lên từ "&amp;TEXT(D7,"0")&amp;" lên "&amp;TEXT(E7,"0")&amp;" điểm, chưa đủ vững. Mình đi thêm 7 đêm nữa, không vội.",""))))))</f>
        <v/>
      </c>
      <c r="V7" s="3" t="str">
        <f aca="false">IF(B7=0,"",IF(SUMPRODUCT(MAX(('Nhật ký'!$A$2:$A$281=$A7)*('Nhật ký'!$U$2:$U$281)))&gt;=Ngưỡng!$B$21,"Căng mức 5 liên tiếp, hỏi riêng; ","")&amp;IF(COUNTIFS('Nhật ký'!$A$2:$A$281,$A7,'Nhật ký'!$H$2:$H$281,"Lo hồi hộp")&gt;=Ngưỡng!$B$22,"Lo hồi hộp nhiều đêm, gợi ý người thật; ","")&amp;IF(SUMPRODUCT(MAX(('Nhật ký'!$A$2:$A$281=$A7)*('Nhật ký'!$V$2:$V$281)))&gt;=Ngưỡng!$B$23,"Tỉnh đêm kéo dài, gợi ý khám; ","")&amp;IF(SUMPRODUCT(MAX(('Nhật ký'!$A$2:$A$281=$A7)*('Nhật ký'!$W$2:$W$281)))&gt;=Ngưỡng!$B$24,"Thiếu dữ liệu nhiều ngày, hỏi một câu; ",""))</f>
        <v/>
      </c>
      <c r="W7" s="4" t="n">
        <f aca="false">COUNTIFS('Nhật ký'!$A$2:$A$281,$A7,'Nhật ký'!$J$2:$J$281,"Việc",'Nhật ký'!$Q$2:$Q$281,1)</f>
        <v>0</v>
      </c>
      <c r="X7" s="4" t="n">
        <f aca="false">COUNTIFS('Nhật ký'!$A$2:$A$281,$A7,'Nhật ký'!$J$2:$J$281,"Tiền",'Nhật ký'!$Q$2:$Q$281,1)</f>
        <v>0</v>
      </c>
      <c r="Y7" s="4" t="n">
        <f aca="false">COUNTIFS('Nhật ký'!$A$2:$A$281,$A7,'Nhật ký'!$J$2:$J$281,"Người",'Nhật ký'!$Q$2:$Q$281,1)</f>
        <v>0</v>
      </c>
      <c r="Z7" s="4" t="n">
        <f aca="false">COUNTIFS('Nhật ký'!$A$2:$A$281,$A7,'Nhật ký'!$J$2:$J$281,"Không rõ",'Nhật ký'!$Q$2:$Q$281,1)</f>
        <v>0</v>
      </c>
      <c r="AA7" s="17" t="str">
        <f aca="false">IFERROR(AVERAGEIFS('Nhật ký'!$X$2:$X$281,'Nhật ký'!$A$2:$A$281,$A7,'Nhật ký'!$C$2:$C$281,2),"")</f>
        <v/>
      </c>
    </row>
    <row r="8" customFormat="false" ht="15" hidden="false" customHeight="false" outlineLevel="0" collapsed="false">
      <c r="A8" s="0" t="s">
        <v>87</v>
      </c>
      <c r="B8" s="4" t="n">
        <f aca="false">COUNTIFS('Nhật ký'!$A$2:$A$281,$A8,'Nhật ký'!$O$2:$O$281,1)</f>
        <v>0</v>
      </c>
      <c r="C8" s="4" t="n">
        <f aca="false">COUNTIFS('Nhật ký'!$A$2:$A$281,$A8,'Nhật ký'!$Q$2:$Q$281,1)</f>
        <v>0</v>
      </c>
      <c r="D8" s="17" t="str">
        <f aca="false">IFERROR(AVERAGEIFS('Nhật ký'!$N$2:$N$281,'Nhật ký'!$A$2:$A$281,$A8,'Nhật ký'!$C$2:$C$281,1),"")</f>
        <v/>
      </c>
      <c r="E8" s="17" t="str">
        <f aca="false">IFERROR(AVERAGEIFS('Nhật ký'!$N$2:$N$281,'Nhật ký'!$A$2:$A$281,$A8,'Nhật ký'!$C$2:$C$281,2),"")</f>
        <v/>
      </c>
      <c r="F8" s="17" t="str">
        <f aca="false">IF(OR(D8="",E8=""),"",E8-D8)</f>
        <v/>
      </c>
      <c r="G8" s="4" t="n">
        <f aca="false">COUNTIFS('Nhật ký'!$A$2:$A$281,$A8,'Nhật ký'!$T$2:$T$281,1,'Nhật ký'!$C$2:$C$281,2)</f>
        <v>0</v>
      </c>
      <c r="H8" s="4" t="str">
        <f aca="false">IF(F8="","",IF(AND(F8&gt;=Ngưỡng!$B$11,G8&gt;=Ngưỡng!$B$12),"Có","Chưa"))</f>
        <v/>
      </c>
      <c r="I8" s="4" t="n">
        <f aca="false">COUNTIFS('Nhật ký'!$A$2:$A$281,$A8,'Nhật ký'!$P$2:$P$281,1)</f>
        <v>0</v>
      </c>
      <c r="J8" s="4" t="n">
        <f aca="false">COUNTIFS('Nhật ký'!$A$2:$A$281,$A8,'Nhật ký'!$P$2:$P$281,1,'Nhật ký'!$Q$2:$Q$281,1)</f>
        <v>0</v>
      </c>
      <c r="K8" s="18" t="n">
        <f aca="false">IFERROR(J8/C8,0)</f>
        <v>0</v>
      </c>
      <c r="L8" s="18" t="n">
        <f aca="false">IFERROR(COUNTIFS('Nhật ký'!$A$2:$A$281,$A8,'Nhật ký'!$P$2:$P$281,1,'Nhật ký'!$Q$2:$Q$281,0)/COUNTIFS('Nhật ký'!$A$2:$A$281,$A8,'Nhật ký'!$Q$2:$Q$281,0),0)</f>
        <v>0</v>
      </c>
      <c r="M8" s="18" t="n">
        <f aca="false">K8-L8</f>
        <v>0</v>
      </c>
      <c r="N8" s="18" t="n">
        <f aca="false">IFERROR(COUNTIFS('Nhật ký'!$A$2:$A$281,$A8,'Nhật ký'!$R$2:$R$281,1)/14,0)</f>
        <v>0</v>
      </c>
      <c r="O8" s="4" t="n">
        <f aca="false">COUNTIFS('Nhật ký'!$A$2:$A$281,$A8,'Nhật ký'!$S$2:$S$281,1)</f>
        <v>0</v>
      </c>
      <c r="P8" s="18" t="n">
        <f aca="false">IFERROR(COUNTIFS('Nhật ký'!$A$2:$A$281,$A8,'Nhật ký'!$P$2:$P$281,1,'Nhật ký'!$S$2:$S$281,1)/O8,0)</f>
        <v>0</v>
      </c>
      <c r="Q8" s="17" t="str">
        <f aca="false">IFERROR(AVERAGEIFS('Nhật ký'!$G$2:$G$281,'Nhật ký'!$A$2:$A$281,$A8,'Nhật ký'!$C$2:$C$281,2),"")</f>
        <v/>
      </c>
      <c r="R8" s="4" t="n">
        <f aca="false">COUNTIFS('Nhật ký'!$A$2:$A$281,$A8,'Nhật ký'!$Q$2:$Q$281,1,'Nhật ký'!$C$2:$C$281,2)</f>
        <v>0</v>
      </c>
      <c r="S8" s="4" t="str">
        <f aca="false">IF(MAX(W8:Z8)=0,"chưa rõ",INDEX(Ngưỡng!$D$3:$G$3,MATCH(MAX(W8:Z8),W8:Z8,0)))</f>
        <v>chưa rõ</v>
      </c>
      <c r="T8" s="2" t="str">
        <f aca="false">IF(B8=0,"",IF(B8&lt;Ngưỡng!$B$8,"Chưa đủ dữ liệu: tổng kết ngủ, thêm 7 ngày",IF(H8&lt;&gt;"Có",IF(AND(ISNUMBER(AA8),AA8&gt;=Ngưỡng!$B$27,ISNUMBER(Q8),Q8&lt;Ngưỡng!$B$19),"Mời Hồi sinh lực","Chưa bám rễ: gia hạn 7 ngày"),IF(AND(O8&gt;=Ngưỡng!$B$26,P8&gt;K8),"Gốc tiêu hóa: ở lại Ngủ 7 ngày, dời bữa tối",IF(AND(C8&gt;=Ngưỡng!$B$9,M8&gt;=Ngưỡng!$B$14,K8&gt;=Ngưỡng!$B$15,OR(N8&gt;=Ngưỡng!$B$16,R8&gt;=Ngưỡng!$B$17)),"Mời Xả áp lực",IF(AND(ISNUMBER(Q8),Q8&lt;Ngưỡng!$B$19),"Mời Hồi sinh lực","Vào Cổng Khỏe"))))))</f>
        <v/>
      </c>
      <c r="U8" s="3" t="str">
        <f aca="false">IF(T8="","",IF(T8="Mời Xả áp lực","14 đêm qua, giấc ngủ của bạn lên từ "&amp;TEXT(D8,"0")&amp;" lên "&amp;TEXT(E8,"0")&amp;" điểm. Nhưng "&amp;J8&amp;" trong "&amp;I8&amp;" đêm vỡ rơi đúng vào ngày bạn chấm căng từ 4, và phần lớn là căng vì "&amp;S8&amp;". Gốc rễ giờ nằm ở ban ngày, mình sang Xả áp lực nhé?",IF(T8="Mời Hồi sinh lực","Giấc ngủ của bạn đã lên "&amp;TEXT(E8,"0")&amp;" điểm, nhưng tuần này bạn vẫn chỉ chấm sáng dậy trung bình "&amp;TEXT(Q8,"0.0")&amp;" trên 5. Ngủ đủ mà vẫn mệt là chuyện của khí. Mình sang Hồi sinh lực nhé?",IF(T8="Vào Cổng Khỏe","Giấc ngủ của bạn đã vững: "&amp;TEXT(E8,"0")&amp;" điểm, "&amp;G8&amp;" đêm đạt ngưỡng tuần này. Cơ thể bạn đã yên. 30 ngày tới mình chỉ chấm điểm sáng, không giao việc nữa.",IF(LEFT(T8,3)="Gốc","Giấc ngủ lên "&amp;TEXT(E8,"0")&amp;" điểm. Nhưng "&amp;O8&amp;" đêm bạn ăn tối sau 20 giờ, và phần lớn đêm vỡ rơi vào những đêm đó. Mình ở lại thêm 7 ngày, chỉ dời bữa tối sớm hơn nhé.",IF(LEFT(T8,4)="Chưa","Giấc ngủ của bạn đang lên từ "&amp;TEXT(D8,"0")&amp;" lên "&amp;TEXT(E8,"0")&amp;" điểm, chưa đủ vững. Mình đi thêm 7 đêm nữa, không vội.",""))))))</f>
        <v/>
      </c>
      <c r="V8" s="3" t="str">
        <f aca="false">IF(B8=0,"",IF(SUMPRODUCT(MAX(('Nhật ký'!$A$2:$A$281=$A8)*('Nhật ký'!$U$2:$U$281)))&gt;=Ngưỡng!$B$21,"Căng mức 5 liên tiếp, hỏi riêng; ","")&amp;IF(COUNTIFS('Nhật ký'!$A$2:$A$281,$A8,'Nhật ký'!$H$2:$H$281,"Lo hồi hộp")&gt;=Ngưỡng!$B$22,"Lo hồi hộp nhiều đêm, gợi ý người thật; ","")&amp;IF(SUMPRODUCT(MAX(('Nhật ký'!$A$2:$A$281=$A8)*('Nhật ký'!$V$2:$V$281)))&gt;=Ngưỡng!$B$23,"Tỉnh đêm kéo dài, gợi ý khám; ","")&amp;IF(SUMPRODUCT(MAX(('Nhật ký'!$A$2:$A$281=$A8)*('Nhật ký'!$W$2:$W$281)))&gt;=Ngưỡng!$B$24,"Thiếu dữ liệu nhiều ngày, hỏi một câu; ",""))</f>
        <v/>
      </c>
      <c r="W8" s="4" t="n">
        <f aca="false">COUNTIFS('Nhật ký'!$A$2:$A$281,$A8,'Nhật ký'!$J$2:$J$281,"Việc",'Nhật ký'!$Q$2:$Q$281,1)</f>
        <v>0</v>
      </c>
      <c r="X8" s="4" t="n">
        <f aca="false">COUNTIFS('Nhật ký'!$A$2:$A$281,$A8,'Nhật ký'!$J$2:$J$281,"Tiền",'Nhật ký'!$Q$2:$Q$281,1)</f>
        <v>0</v>
      </c>
      <c r="Y8" s="4" t="n">
        <f aca="false">COUNTIFS('Nhật ký'!$A$2:$A$281,$A8,'Nhật ký'!$J$2:$J$281,"Người",'Nhật ký'!$Q$2:$Q$281,1)</f>
        <v>0</v>
      </c>
      <c r="Z8" s="4" t="n">
        <f aca="false">COUNTIFS('Nhật ký'!$A$2:$A$281,$A8,'Nhật ký'!$J$2:$J$281,"Không rõ",'Nhật ký'!$Q$2:$Q$281,1)</f>
        <v>0</v>
      </c>
      <c r="AA8" s="17" t="str">
        <f aca="false">IFERROR(AVERAGEIFS('Nhật ký'!$X$2:$X$281,'Nhật ký'!$A$2:$A$281,$A8,'Nhật ký'!$C$2:$C$281,2),"")</f>
        <v/>
      </c>
    </row>
    <row r="9" customFormat="false" ht="15" hidden="false" customHeight="false" outlineLevel="0" collapsed="false">
      <c r="A9" s="0" t="s">
        <v>88</v>
      </c>
      <c r="B9" s="4" t="n">
        <f aca="false">COUNTIFS('Nhật ký'!$A$2:$A$281,$A9,'Nhật ký'!$O$2:$O$281,1)</f>
        <v>0</v>
      </c>
      <c r="C9" s="4" t="n">
        <f aca="false">COUNTIFS('Nhật ký'!$A$2:$A$281,$A9,'Nhật ký'!$Q$2:$Q$281,1)</f>
        <v>0</v>
      </c>
      <c r="D9" s="17" t="str">
        <f aca="false">IFERROR(AVERAGEIFS('Nhật ký'!$N$2:$N$281,'Nhật ký'!$A$2:$A$281,$A9,'Nhật ký'!$C$2:$C$281,1),"")</f>
        <v/>
      </c>
      <c r="E9" s="17" t="str">
        <f aca="false">IFERROR(AVERAGEIFS('Nhật ký'!$N$2:$N$281,'Nhật ký'!$A$2:$A$281,$A9,'Nhật ký'!$C$2:$C$281,2),"")</f>
        <v/>
      </c>
      <c r="F9" s="17" t="str">
        <f aca="false">IF(OR(D9="",E9=""),"",E9-D9)</f>
        <v/>
      </c>
      <c r="G9" s="4" t="n">
        <f aca="false">COUNTIFS('Nhật ký'!$A$2:$A$281,$A9,'Nhật ký'!$T$2:$T$281,1,'Nhật ký'!$C$2:$C$281,2)</f>
        <v>0</v>
      </c>
      <c r="H9" s="4" t="str">
        <f aca="false">IF(F9="","",IF(AND(F9&gt;=Ngưỡng!$B$11,G9&gt;=Ngưỡng!$B$12),"Có","Chưa"))</f>
        <v/>
      </c>
      <c r="I9" s="4" t="n">
        <f aca="false">COUNTIFS('Nhật ký'!$A$2:$A$281,$A9,'Nhật ký'!$P$2:$P$281,1)</f>
        <v>0</v>
      </c>
      <c r="J9" s="4" t="n">
        <f aca="false">COUNTIFS('Nhật ký'!$A$2:$A$281,$A9,'Nhật ký'!$P$2:$P$281,1,'Nhật ký'!$Q$2:$Q$281,1)</f>
        <v>0</v>
      </c>
      <c r="K9" s="18" t="n">
        <f aca="false">IFERROR(J9/C9,0)</f>
        <v>0</v>
      </c>
      <c r="L9" s="18" t="n">
        <f aca="false">IFERROR(COUNTIFS('Nhật ký'!$A$2:$A$281,$A9,'Nhật ký'!$P$2:$P$281,1,'Nhật ký'!$Q$2:$Q$281,0)/COUNTIFS('Nhật ký'!$A$2:$A$281,$A9,'Nhật ký'!$Q$2:$Q$281,0),0)</f>
        <v>0</v>
      </c>
      <c r="M9" s="18" t="n">
        <f aca="false">K9-L9</f>
        <v>0</v>
      </c>
      <c r="N9" s="18" t="n">
        <f aca="false">IFERROR(COUNTIFS('Nhật ký'!$A$2:$A$281,$A9,'Nhật ký'!$R$2:$R$281,1)/14,0)</f>
        <v>0</v>
      </c>
      <c r="O9" s="4" t="n">
        <f aca="false">COUNTIFS('Nhật ký'!$A$2:$A$281,$A9,'Nhật ký'!$S$2:$S$281,1)</f>
        <v>0</v>
      </c>
      <c r="P9" s="18" t="n">
        <f aca="false">IFERROR(COUNTIFS('Nhật ký'!$A$2:$A$281,$A9,'Nhật ký'!$P$2:$P$281,1,'Nhật ký'!$S$2:$S$281,1)/O9,0)</f>
        <v>0</v>
      </c>
      <c r="Q9" s="17" t="str">
        <f aca="false">IFERROR(AVERAGEIFS('Nhật ký'!$G$2:$G$281,'Nhật ký'!$A$2:$A$281,$A9,'Nhật ký'!$C$2:$C$281,2),"")</f>
        <v/>
      </c>
      <c r="R9" s="4" t="n">
        <f aca="false">COUNTIFS('Nhật ký'!$A$2:$A$281,$A9,'Nhật ký'!$Q$2:$Q$281,1,'Nhật ký'!$C$2:$C$281,2)</f>
        <v>0</v>
      </c>
      <c r="S9" s="4" t="str">
        <f aca="false">IF(MAX(W9:Z9)=0,"chưa rõ",INDEX(Ngưỡng!$D$3:$G$3,MATCH(MAX(W9:Z9),W9:Z9,0)))</f>
        <v>chưa rõ</v>
      </c>
      <c r="T9" s="2" t="str">
        <f aca="false">IF(B9=0,"",IF(B9&lt;Ngưỡng!$B$8,"Chưa đủ dữ liệu: tổng kết ngủ, thêm 7 ngày",IF(H9&lt;&gt;"Có",IF(AND(ISNUMBER(AA9),AA9&gt;=Ngưỡng!$B$27,ISNUMBER(Q9),Q9&lt;Ngưỡng!$B$19),"Mời Hồi sinh lực","Chưa bám rễ: gia hạn 7 ngày"),IF(AND(O9&gt;=Ngưỡng!$B$26,P9&gt;K9),"Gốc tiêu hóa: ở lại Ngủ 7 ngày, dời bữa tối",IF(AND(C9&gt;=Ngưỡng!$B$9,M9&gt;=Ngưỡng!$B$14,K9&gt;=Ngưỡng!$B$15,OR(N9&gt;=Ngưỡng!$B$16,R9&gt;=Ngưỡng!$B$17)),"Mời Xả áp lực",IF(AND(ISNUMBER(Q9),Q9&lt;Ngưỡng!$B$19),"Mời Hồi sinh lực","Vào Cổng Khỏe"))))))</f>
        <v/>
      </c>
      <c r="U9" s="3" t="str">
        <f aca="false">IF(T9="","",IF(T9="Mời Xả áp lực","14 đêm qua, giấc ngủ của bạn lên từ "&amp;TEXT(D9,"0")&amp;" lên "&amp;TEXT(E9,"0")&amp;" điểm. Nhưng "&amp;J9&amp;" trong "&amp;I9&amp;" đêm vỡ rơi đúng vào ngày bạn chấm căng từ 4, và phần lớn là căng vì "&amp;S9&amp;". Gốc rễ giờ nằm ở ban ngày, mình sang Xả áp lực nhé?",IF(T9="Mời Hồi sinh lực","Giấc ngủ của bạn đã lên "&amp;TEXT(E9,"0")&amp;" điểm, nhưng tuần này bạn vẫn chỉ chấm sáng dậy trung bình "&amp;TEXT(Q9,"0.0")&amp;" trên 5. Ngủ đủ mà vẫn mệt là chuyện của khí. Mình sang Hồi sinh lực nhé?",IF(T9="Vào Cổng Khỏe","Giấc ngủ của bạn đã vững: "&amp;TEXT(E9,"0")&amp;" điểm, "&amp;G9&amp;" đêm đạt ngưỡng tuần này. Cơ thể bạn đã yên. 30 ngày tới mình chỉ chấm điểm sáng, không giao việc nữa.",IF(LEFT(T9,3)="Gốc","Giấc ngủ lên "&amp;TEXT(E9,"0")&amp;" điểm. Nhưng "&amp;O9&amp;" đêm bạn ăn tối sau 20 giờ, và phần lớn đêm vỡ rơi vào những đêm đó. Mình ở lại thêm 7 ngày, chỉ dời bữa tối sớm hơn nhé.",IF(LEFT(T9,4)="Chưa","Giấc ngủ của bạn đang lên từ "&amp;TEXT(D9,"0")&amp;" lên "&amp;TEXT(E9,"0")&amp;" điểm, chưa đủ vững. Mình đi thêm 7 đêm nữa, không vội.",""))))))</f>
        <v/>
      </c>
      <c r="V9" s="3" t="str">
        <f aca="false">IF(B9=0,"",IF(SUMPRODUCT(MAX(('Nhật ký'!$A$2:$A$281=$A9)*('Nhật ký'!$U$2:$U$281)))&gt;=Ngưỡng!$B$21,"Căng mức 5 liên tiếp, hỏi riêng; ","")&amp;IF(COUNTIFS('Nhật ký'!$A$2:$A$281,$A9,'Nhật ký'!$H$2:$H$281,"Lo hồi hộp")&gt;=Ngưỡng!$B$22,"Lo hồi hộp nhiều đêm, gợi ý người thật; ","")&amp;IF(SUMPRODUCT(MAX(('Nhật ký'!$A$2:$A$281=$A9)*('Nhật ký'!$V$2:$V$281)))&gt;=Ngưỡng!$B$23,"Tỉnh đêm kéo dài, gợi ý khám; ","")&amp;IF(SUMPRODUCT(MAX(('Nhật ký'!$A$2:$A$281=$A9)*('Nhật ký'!$W$2:$W$281)))&gt;=Ngưỡng!$B$24,"Thiếu dữ liệu nhiều ngày, hỏi một câu; ",""))</f>
        <v/>
      </c>
      <c r="W9" s="4" t="n">
        <f aca="false">COUNTIFS('Nhật ký'!$A$2:$A$281,$A9,'Nhật ký'!$J$2:$J$281,"Việc",'Nhật ký'!$Q$2:$Q$281,1)</f>
        <v>0</v>
      </c>
      <c r="X9" s="4" t="n">
        <f aca="false">COUNTIFS('Nhật ký'!$A$2:$A$281,$A9,'Nhật ký'!$J$2:$J$281,"Tiền",'Nhật ký'!$Q$2:$Q$281,1)</f>
        <v>0</v>
      </c>
      <c r="Y9" s="4" t="n">
        <f aca="false">COUNTIFS('Nhật ký'!$A$2:$A$281,$A9,'Nhật ký'!$J$2:$J$281,"Người",'Nhật ký'!$Q$2:$Q$281,1)</f>
        <v>0</v>
      </c>
      <c r="Z9" s="4" t="n">
        <f aca="false">COUNTIFS('Nhật ký'!$A$2:$A$281,$A9,'Nhật ký'!$J$2:$J$281,"Không rõ",'Nhật ký'!$Q$2:$Q$281,1)</f>
        <v>0</v>
      </c>
      <c r="AA9" s="17" t="str">
        <f aca="false">IFERROR(AVERAGEIFS('Nhật ký'!$X$2:$X$281,'Nhật ký'!$A$2:$A$281,$A9,'Nhật ký'!$C$2:$C$281,2),"")</f>
        <v/>
      </c>
    </row>
    <row r="10" customFormat="false" ht="15" hidden="false" customHeight="false" outlineLevel="0" collapsed="false">
      <c r="A10" s="0" t="s">
        <v>89</v>
      </c>
      <c r="B10" s="4" t="n">
        <f aca="false">COUNTIFS('Nhật ký'!$A$2:$A$281,$A10,'Nhật ký'!$O$2:$O$281,1)</f>
        <v>0</v>
      </c>
      <c r="C10" s="4" t="n">
        <f aca="false">COUNTIFS('Nhật ký'!$A$2:$A$281,$A10,'Nhật ký'!$Q$2:$Q$281,1)</f>
        <v>0</v>
      </c>
      <c r="D10" s="17" t="str">
        <f aca="false">IFERROR(AVERAGEIFS('Nhật ký'!$N$2:$N$281,'Nhật ký'!$A$2:$A$281,$A10,'Nhật ký'!$C$2:$C$281,1),"")</f>
        <v/>
      </c>
      <c r="E10" s="17" t="str">
        <f aca="false">IFERROR(AVERAGEIFS('Nhật ký'!$N$2:$N$281,'Nhật ký'!$A$2:$A$281,$A10,'Nhật ký'!$C$2:$C$281,2),"")</f>
        <v/>
      </c>
      <c r="F10" s="17" t="str">
        <f aca="false">IF(OR(D10="",E10=""),"",E10-D10)</f>
        <v/>
      </c>
      <c r="G10" s="4" t="n">
        <f aca="false">COUNTIFS('Nhật ký'!$A$2:$A$281,$A10,'Nhật ký'!$T$2:$T$281,1,'Nhật ký'!$C$2:$C$281,2)</f>
        <v>0</v>
      </c>
      <c r="H10" s="4" t="str">
        <f aca="false">IF(F10="","",IF(AND(F10&gt;=Ngưỡng!$B$11,G10&gt;=Ngưỡng!$B$12),"Có","Chưa"))</f>
        <v/>
      </c>
      <c r="I10" s="4" t="n">
        <f aca="false">COUNTIFS('Nhật ký'!$A$2:$A$281,$A10,'Nhật ký'!$P$2:$P$281,1)</f>
        <v>0</v>
      </c>
      <c r="J10" s="4" t="n">
        <f aca="false">COUNTIFS('Nhật ký'!$A$2:$A$281,$A10,'Nhật ký'!$P$2:$P$281,1,'Nhật ký'!$Q$2:$Q$281,1)</f>
        <v>0</v>
      </c>
      <c r="K10" s="18" t="n">
        <f aca="false">IFERROR(J10/C10,0)</f>
        <v>0</v>
      </c>
      <c r="L10" s="18" t="n">
        <f aca="false">IFERROR(COUNTIFS('Nhật ký'!$A$2:$A$281,$A10,'Nhật ký'!$P$2:$P$281,1,'Nhật ký'!$Q$2:$Q$281,0)/COUNTIFS('Nhật ký'!$A$2:$A$281,$A10,'Nhật ký'!$Q$2:$Q$281,0),0)</f>
        <v>0</v>
      </c>
      <c r="M10" s="18" t="n">
        <f aca="false">K10-L10</f>
        <v>0</v>
      </c>
      <c r="N10" s="18" t="n">
        <f aca="false">IFERROR(COUNTIFS('Nhật ký'!$A$2:$A$281,$A10,'Nhật ký'!$R$2:$R$281,1)/14,0)</f>
        <v>0</v>
      </c>
      <c r="O10" s="4" t="n">
        <f aca="false">COUNTIFS('Nhật ký'!$A$2:$A$281,$A10,'Nhật ký'!$S$2:$S$281,1)</f>
        <v>0</v>
      </c>
      <c r="P10" s="18" t="n">
        <f aca="false">IFERROR(COUNTIFS('Nhật ký'!$A$2:$A$281,$A10,'Nhật ký'!$P$2:$P$281,1,'Nhật ký'!$S$2:$S$281,1)/O10,0)</f>
        <v>0</v>
      </c>
      <c r="Q10" s="17" t="str">
        <f aca="false">IFERROR(AVERAGEIFS('Nhật ký'!$G$2:$G$281,'Nhật ký'!$A$2:$A$281,$A10,'Nhật ký'!$C$2:$C$281,2),"")</f>
        <v/>
      </c>
      <c r="R10" s="4" t="n">
        <f aca="false">COUNTIFS('Nhật ký'!$A$2:$A$281,$A10,'Nhật ký'!$Q$2:$Q$281,1,'Nhật ký'!$C$2:$C$281,2)</f>
        <v>0</v>
      </c>
      <c r="S10" s="4" t="str">
        <f aca="false">IF(MAX(W10:Z10)=0,"chưa rõ",INDEX(Ngưỡng!$D$3:$G$3,MATCH(MAX(W10:Z10),W10:Z10,0)))</f>
        <v>chưa rõ</v>
      </c>
      <c r="T10" s="2" t="str">
        <f aca="false">IF(B10=0,"",IF(B10&lt;Ngưỡng!$B$8,"Chưa đủ dữ liệu: tổng kết ngủ, thêm 7 ngày",IF(H10&lt;&gt;"Có",IF(AND(ISNUMBER(AA10),AA10&gt;=Ngưỡng!$B$27,ISNUMBER(Q10),Q10&lt;Ngưỡng!$B$19),"Mời Hồi sinh lực","Chưa bám rễ: gia hạn 7 ngày"),IF(AND(O10&gt;=Ngưỡng!$B$26,P10&gt;K10),"Gốc tiêu hóa: ở lại Ngủ 7 ngày, dời bữa tối",IF(AND(C10&gt;=Ngưỡng!$B$9,M10&gt;=Ngưỡng!$B$14,K10&gt;=Ngưỡng!$B$15,OR(N10&gt;=Ngưỡng!$B$16,R10&gt;=Ngưỡng!$B$17)),"Mời Xả áp lực",IF(AND(ISNUMBER(Q10),Q10&lt;Ngưỡng!$B$19),"Mời Hồi sinh lực","Vào Cổng Khỏe"))))))</f>
        <v/>
      </c>
      <c r="U10" s="3" t="str">
        <f aca="false">IF(T10="","",IF(T10="Mời Xả áp lực","14 đêm qua, giấc ngủ của bạn lên từ "&amp;TEXT(D10,"0")&amp;" lên "&amp;TEXT(E10,"0")&amp;" điểm. Nhưng "&amp;J10&amp;" trong "&amp;I10&amp;" đêm vỡ rơi đúng vào ngày bạn chấm căng từ 4, và phần lớn là căng vì "&amp;S10&amp;". Gốc rễ giờ nằm ở ban ngày, mình sang Xả áp lực nhé?",IF(T10="Mời Hồi sinh lực","Giấc ngủ của bạn đã lên "&amp;TEXT(E10,"0")&amp;" điểm, nhưng tuần này bạn vẫn chỉ chấm sáng dậy trung bình "&amp;TEXT(Q10,"0.0")&amp;" trên 5. Ngủ đủ mà vẫn mệt là chuyện của khí. Mình sang Hồi sinh lực nhé?",IF(T10="Vào Cổng Khỏe","Giấc ngủ của bạn đã vững: "&amp;TEXT(E10,"0")&amp;" điểm, "&amp;G10&amp;" đêm đạt ngưỡng tuần này. Cơ thể bạn đã yên. 30 ngày tới mình chỉ chấm điểm sáng, không giao việc nữa.",IF(LEFT(T10,3)="Gốc","Giấc ngủ lên "&amp;TEXT(E10,"0")&amp;" điểm. Nhưng "&amp;O10&amp;" đêm bạn ăn tối sau 20 giờ, và phần lớn đêm vỡ rơi vào những đêm đó. Mình ở lại thêm 7 ngày, chỉ dời bữa tối sớm hơn nhé.",IF(LEFT(T10,4)="Chưa","Giấc ngủ của bạn đang lên từ "&amp;TEXT(D10,"0")&amp;" lên "&amp;TEXT(E10,"0")&amp;" điểm, chưa đủ vững. Mình đi thêm 7 đêm nữa, không vội.",""))))))</f>
        <v/>
      </c>
      <c r="V10" s="3" t="str">
        <f aca="false">IF(B10=0,"",IF(SUMPRODUCT(MAX(('Nhật ký'!$A$2:$A$281=$A10)*('Nhật ký'!$U$2:$U$281)))&gt;=Ngưỡng!$B$21,"Căng mức 5 liên tiếp, hỏi riêng; ","")&amp;IF(COUNTIFS('Nhật ký'!$A$2:$A$281,$A10,'Nhật ký'!$H$2:$H$281,"Lo hồi hộp")&gt;=Ngưỡng!$B$22,"Lo hồi hộp nhiều đêm, gợi ý người thật; ","")&amp;IF(SUMPRODUCT(MAX(('Nhật ký'!$A$2:$A$281=$A10)*('Nhật ký'!$V$2:$V$281)))&gt;=Ngưỡng!$B$23,"Tỉnh đêm kéo dài, gợi ý khám; ","")&amp;IF(SUMPRODUCT(MAX(('Nhật ký'!$A$2:$A$281=$A10)*('Nhật ký'!$W$2:$W$281)))&gt;=Ngưỡng!$B$24,"Thiếu dữ liệu nhiều ngày, hỏi một câu; ",""))</f>
        <v/>
      </c>
      <c r="W10" s="4" t="n">
        <f aca="false">COUNTIFS('Nhật ký'!$A$2:$A$281,$A10,'Nhật ký'!$J$2:$J$281,"Việc",'Nhật ký'!$Q$2:$Q$281,1)</f>
        <v>0</v>
      </c>
      <c r="X10" s="4" t="n">
        <f aca="false">COUNTIFS('Nhật ký'!$A$2:$A$281,$A10,'Nhật ký'!$J$2:$J$281,"Tiền",'Nhật ký'!$Q$2:$Q$281,1)</f>
        <v>0</v>
      </c>
      <c r="Y10" s="4" t="n">
        <f aca="false">COUNTIFS('Nhật ký'!$A$2:$A$281,$A10,'Nhật ký'!$J$2:$J$281,"Người",'Nhật ký'!$Q$2:$Q$281,1)</f>
        <v>0</v>
      </c>
      <c r="Z10" s="4" t="n">
        <f aca="false">COUNTIFS('Nhật ký'!$A$2:$A$281,$A10,'Nhật ký'!$J$2:$J$281,"Không rõ",'Nhật ký'!$Q$2:$Q$281,1)</f>
        <v>0</v>
      </c>
      <c r="AA10" s="17" t="str">
        <f aca="false">IFERROR(AVERAGEIFS('Nhật ký'!$X$2:$X$281,'Nhật ký'!$A$2:$A$281,$A10,'Nhật ký'!$C$2:$C$281,2),"")</f>
        <v/>
      </c>
    </row>
    <row r="11" customFormat="false" ht="15" hidden="false" customHeight="false" outlineLevel="0" collapsed="false">
      <c r="A11" s="0" t="s">
        <v>90</v>
      </c>
      <c r="B11" s="4" t="n">
        <f aca="false">COUNTIFS('Nhật ký'!$A$2:$A$281,$A11,'Nhật ký'!$O$2:$O$281,1)</f>
        <v>0</v>
      </c>
      <c r="C11" s="4" t="n">
        <f aca="false">COUNTIFS('Nhật ký'!$A$2:$A$281,$A11,'Nhật ký'!$Q$2:$Q$281,1)</f>
        <v>0</v>
      </c>
      <c r="D11" s="17" t="str">
        <f aca="false">IFERROR(AVERAGEIFS('Nhật ký'!$N$2:$N$281,'Nhật ký'!$A$2:$A$281,$A11,'Nhật ký'!$C$2:$C$281,1),"")</f>
        <v/>
      </c>
      <c r="E11" s="17" t="str">
        <f aca="false">IFERROR(AVERAGEIFS('Nhật ký'!$N$2:$N$281,'Nhật ký'!$A$2:$A$281,$A11,'Nhật ký'!$C$2:$C$281,2),"")</f>
        <v/>
      </c>
      <c r="F11" s="17" t="str">
        <f aca="false">IF(OR(D11="",E11=""),"",E11-D11)</f>
        <v/>
      </c>
      <c r="G11" s="4" t="n">
        <f aca="false">COUNTIFS('Nhật ký'!$A$2:$A$281,$A11,'Nhật ký'!$T$2:$T$281,1,'Nhật ký'!$C$2:$C$281,2)</f>
        <v>0</v>
      </c>
      <c r="H11" s="4" t="str">
        <f aca="false">IF(F11="","",IF(AND(F11&gt;=Ngưỡng!$B$11,G11&gt;=Ngưỡng!$B$12),"Có","Chưa"))</f>
        <v/>
      </c>
      <c r="I11" s="4" t="n">
        <f aca="false">COUNTIFS('Nhật ký'!$A$2:$A$281,$A11,'Nhật ký'!$P$2:$P$281,1)</f>
        <v>0</v>
      </c>
      <c r="J11" s="4" t="n">
        <f aca="false">COUNTIFS('Nhật ký'!$A$2:$A$281,$A11,'Nhật ký'!$P$2:$P$281,1,'Nhật ký'!$Q$2:$Q$281,1)</f>
        <v>0</v>
      </c>
      <c r="K11" s="18" t="n">
        <f aca="false">IFERROR(J11/C11,0)</f>
        <v>0</v>
      </c>
      <c r="L11" s="18" t="n">
        <f aca="false">IFERROR(COUNTIFS('Nhật ký'!$A$2:$A$281,$A11,'Nhật ký'!$P$2:$P$281,1,'Nhật ký'!$Q$2:$Q$281,0)/COUNTIFS('Nhật ký'!$A$2:$A$281,$A11,'Nhật ký'!$Q$2:$Q$281,0),0)</f>
        <v>0</v>
      </c>
      <c r="M11" s="18" t="n">
        <f aca="false">K11-L11</f>
        <v>0</v>
      </c>
      <c r="N11" s="18" t="n">
        <f aca="false">IFERROR(COUNTIFS('Nhật ký'!$A$2:$A$281,$A11,'Nhật ký'!$R$2:$R$281,1)/14,0)</f>
        <v>0</v>
      </c>
      <c r="O11" s="4" t="n">
        <f aca="false">COUNTIFS('Nhật ký'!$A$2:$A$281,$A11,'Nhật ký'!$S$2:$S$281,1)</f>
        <v>0</v>
      </c>
      <c r="P11" s="18" t="n">
        <f aca="false">IFERROR(COUNTIFS('Nhật ký'!$A$2:$A$281,$A11,'Nhật ký'!$P$2:$P$281,1,'Nhật ký'!$S$2:$S$281,1)/O11,0)</f>
        <v>0</v>
      </c>
      <c r="Q11" s="17" t="str">
        <f aca="false">IFERROR(AVERAGEIFS('Nhật ký'!$G$2:$G$281,'Nhật ký'!$A$2:$A$281,$A11,'Nhật ký'!$C$2:$C$281,2),"")</f>
        <v/>
      </c>
      <c r="R11" s="4" t="n">
        <f aca="false">COUNTIFS('Nhật ký'!$A$2:$A$281,$A11,'Nhật ký'!$Q$2:$Q$281,1,'Nhật ký'!$C$2:$C$281,2)</f>
        <v>0</v>
      </c>
      <c r="S11" s="4" t="str">
        <f aca="false">IF(MAX(W11:Z11)=0,"chưa rõ",INDEX(Ngưỡng!$D$3:$G$3,MATCH(MAX(W11:Z11),W11:Z11,0)))</f>
        <v>chưa rõ</v>
      </c>
      <c r="T11" s="2" t="str">
        <f aca="false">IF(B11=0,"",IF(B11&lt;Ngưỡng!$B$8,"Chưa đủ dữ liệu: tổng kết ngủ, thêm 7 ngày",IF(H11&lt;&gt;"Có",IF(AND(ISNUMBER(AA11),AA11&gt;=Ngưỡng!$B$27,ISNUMBER(Q11),Q11&lt;Ngưỡng!$B$19),"Mời Hồi sinh lực","Chưa bám rễ: gia hạn 7 ngày"),IF(AND(O11&gt;=Ngưỡng!$B$26,P11&gt;K11),"Gốc tiêu hóa: ở lại Ngủ 7 ngày, dời bữa tối",IF(AND(C11&gt;=Ngưỡng!$B$9,M11&gt;=Ngưỡng!$B$14,K11&gt;=Ngưỡng!$B$15,OR(N11&gt;=Ngưỡng!$B$16,R11&gt;=Ngưỡng!$B$17)),"Mời Xả áp lực",IF(AND(ISNUMBER(Q11),Q11&lt;Ngưỡng!$B$19),"Mời Hồi sinh lực","Vào Cổng Khỏe"))))))</f>
        <v/>
      </c>
      <c r="U11" s="3" t="str">
        <f aca="false">IF(T11="","",IF(T11="Mời Xả áp lực","14 đêm qua, giấc ngủ của bạn lên từ "&amp;TEXT(D11,"0")&amp;" lên "&amp;TEXT(E11,"0")&amp;" điểm. Nhưng "&amp;J11&amp;" trong "&amp;I11&amp;" đêm vỡ rơi đúng vào ngày bạn chấm căng từ 4, và phần lớn là căng vì "&amp;S11&amp;". Gốc rễ giờ nằm ở ban ngày, mình sang Xả áp lực nhé?",IF(T11="Mời Hồi sinh lực","Giấc ngủ của bạn đã lên "&amp;TEXT(E11,"0")&amp;" điểm, nhưng tuần này bạn vẫn chỉ chấm sáng dậy trung bình "&amp;TEXT(Q11,"0.0")&amp;" trên 5. Ngủ đủ mà vẫn mệt là chuyện của khí. Mình sang Hồi sinh lực nhé?",IF(T11="Vào Cổng Khỏe","Giấc ngủ của bạn đã vững: "&amp;TEXT(E11,"0")&amp;" điểm, "&amp;G11&amp;" đêm đạt ngưỡng tuần này. Cơ thể bạn đã yên. 30 ngày tới mình chỉ chấm điểm sáng, không giao việc nữa.",IF(LEFT(T11,3)="Gốc","Giấc ngủ lên "&amp;TEXT(E11,"0")&amp;" điểm. Nhưng "&amp;O11&amp;" đêm bạn ăn tối sau 20 giờ, và phần lớn đêm vỡ rơi vào những đêm đó. Mình ở lại thêm 7 ngày, chỉ dời bữa tối sớm hơn nhé.",IF(LEFT(T11,4)="Chưa","Giấc ngủ của bạn đang lên từ "&amp;TEXT(D11,"0")&amp;" lên "&amp;TEXT(E11,"0")&amp;" điểm, chưa đủ vững. Mình đi thêm 7 đêm nữa, không vội.",""))))))</f>
        <v/>
      </c>
      <c r="V11" s="3" t="str">
        <f aca="false">IF(B11=0,"",IF(SUMPRODUCT(MAX(('Nhật ký'!$A$2:$A$281=$A11)*('Nhật ký'!$U$2:$U$281)))&gt;=Ngưỡng!$B$21,"Căng mức 5 liên tiếp, hỏi riêng; ","")&amp;IF(COUNTIFS('Nhật ký'!$A$2:$A$281,$A11,'Nhật ký'!$H$2:$H$281,"Lo hồi hộp")&gt;=Ngưỡng!$B$22,"Lo hồi hộp nhiều đêm, gợi ý người thật; ","")&amp;IF(SUMPRODUCT(MAX(('Nhật ký'!$A$2:$A$281=$A11)*('Nhật ký'!$V$2:$V$281)))&gt;=Ngưỡng!$B$23,"Tỉnh đêm kéo dài, gợi ý khám; ","")&amp;IF(SUMPRODUCT(MAX(('Nhật ký'!$A$2:$A$281=$A11)*('Nhật ký'!$W$2:$W$281)))&gt;=Ngưỡng!$B$24,"Thiếu dữ liệu nhiều ngày, hỏi một câu; ",""))</f>
        <v/>
      </c>
      <c r="W11" s="4" t="n">
        <f aca="false">COUNTIFS('Nhật ký'!$A$2:$A$281,$A11,'Nhật ký'!$J$2:$J$281,"Việc",'Nhật ký'!$Q$2:$Q$281,1)</f>
        <v>0</v>
      </c>
      <c r="X11" s="4" t="n">
        <f aca="false">COUNTIFS('Nhật ký'!$A$2:$A$281,$A11,'Nhật ký'!$J$2:$J$281,"Tiền",'Nhật ký'!$Q$2:$Q$281,1)</f>
        <v>0</v>
      </c>
      <c r="Y11" s="4" t="n">
        <f aca="false">COUNTIFS('Nhật ký'!$A$2:$A$281,$A11,'Nhật ký'!$J$2:$J$281,"Người",'Nhật ký'!$Q$2:$Q$281,1)</f>
        <v>0</v>
      </c>
      <c r="Z11" s="4" t="n">
        <f aca="false">COUNTIFS('Nhật ký'!$A$2:$A$281,$A11,'Nhật ký'!$J$2:$J$281,"Không rõ",'Nhật ký'!$Q$2:$Q$281,1)</f>
        <v>0</v>
      </c>
      <c r="AA11" s="17" t="str">
        <f aca="false">IFERROR(AVERAGEIFS('Nhật ký'!$X$2:$X$281,'Nhật ký'!$A$2:$A$281,$A11,'Nhật ký'!$C$2:$C$281,2),"")</f>
        <v/>
      </c>
    </row>
    <row r="12" customFormat="false" ht="15" hidden="false" customHeight="false" outlineLevel="0" collapsed="false">
      <c r="A12" s="0" t="s">
        <v>91</v>
      </c>
      <c r="B12" s="4" t="n">
        <f aca="false">COUNTIFS('Nhật ký'!$A$2:$A$281,$A12,'Nhật ký'!$O$2:$O$281,1)</f>
        <v>0</v>
      </c>
      <c r="C12" s="4" t="n">
        <f aca="false">COUNTIFS('Nhật ký'!$A$2:$A$281,$A12,'Nhật ký'!$Q$2:$Q$281,1)</f>
        <v>0</v>
      </c>
      <c r="D12" s="17" t="str">
        <f aca="false">IFERROR(AVERAGEIFS('Nhật ký'!$N$2:$N$281,'Nhật ký'!$A$2:$A$281,$A12,'Nhật ký'!$C$2:$C$281,1),"")</f>
        <v/>
      </c>
      <c r="E12" s="17" t="str">
        <f aca="false">IFERROR(AVERAGEIFS('Nhật ký'!$N$2:$N$281,'Nhật ký'!$A$2:$A$281,$A12,'Nhật ký'!$C$2:$C$281,2),"")</f>
        <v/>
      </c>
      <c r="F12" s="17" t="str">
        <f aca="false">IF(OR(D12="",E12=""),"",E12-D12)</f>
        <v/>
      </c>
      <c r="G12" s="4" t="n">
        <f aca="false">COUNTIFS('Nhật ký'!$A$2:$A$281,$A12,'Nhật ký'!$T$2:$T$281,1,'Nhật ký'!$C$2:$C$281,2)</f>
        <v>0</v>
      </c>
      <c r="H12" s="4" t="str">
        <f aca="false">IF(F12="","",IF(AND(F12&gt;=Ngưỡng!$B$11,G12&gt;=Ngưỡng!$B$12),"Có","Chưa"))</f>
        <v/>
      </c>
      <c r="I12" s="4" t="n">
        <f aca="false">COUNTIFS('Nhật ký'!$A$2:$A$281,$A12,'Nhật ký'!$P$2:$P$281,1)</f>
        <v>0</v>
      </c>
      <c r="J12" s="4" t="n">
        <f aca="false">COUNTIFS('Nhật ký'!$A$2:$A$281,$A12,'Nhật ký'!$P$2:$P$281,1,'Nhật ký'!$Q$2:$Q$281,1)</f>
        <v>0</v>
      </c>
      <c r="K12" s="18" t="n">
        <f aca="false">IFERROR(J12/C12,0)</f>
        <v>0</v>
      </c>
      <c r="L12" s="18" t="n">
        <f aca="false">IFERROR(COUNTIFS('Nhật ký'!$A$2:$A$281,$A12,'Nhật ký'!$P$2:$P$281,1,'Nhật ký'!$Q$2:$Q$281,0)/COUNTIFS('Nhật ký'!$A$2:$A$281,$A12,'Nhật ký'!$Q$2:$Q$281,0),0)</f>
        <v>0</v>
      </c>
      <c r="M12" s="18" t="n">
        <f aca="false">K12-L12</f>
        <v>0</v>
      </c>
      <c r="N12" s="18" t="n">
        <f aca="false">IFERROR(COUNTIFS('Nhật ký'!$A$2:$A$281,$A12,'Nhật ký'!$R$2:$R$281,1)/14,0)</f>
        <v>0</v>
      </c>
      <c r="O12" s="4" t="n">
        <f aca="false">COUNTIFS('Nhật ký'!$A$2:$A$281,$A12,'Nhật ký'!$S$2:$S$281,1)</f>
        <v>0</v>
      </c>
      <c r="P12" s="18" t="n">
        <f aca="false">IFERROR(COUNTIFS('Nhật ký'!$A$2:$A$281,$A12,'Nhật ký'!$P$2:$P$281,1,'Nhật ký'!$S$2:$S$281,1)/O12,0)</f>
        <v>0</v>
      </c>
      <c r="Q12" s="17" t="str">
        <f aca="false">IFERROR(AVERAGEIFS('Nhật ký'!$G$2:$G$281,'Nhật ký'!$A$2:$A$281,$A12,'Nhật ký'!$C$2:$C$281,2),"")</f>
        <v/>
      </c>
      <c r="R12" s="4" t="n">
        <f aca="false">COUNTIFS('Nhật ký'!$A$2:$A$281,$A12,'Nhật ký'!$Q$2:$Q$281,1,'Nhật ký'!$C$2:$C$281,2)</f>
        <v>0</v>
      </c>
      <c r="S12" s="4" t="str">
        <f aca="false">IF(MAX(W12:Z12)=0,"chưa rõ",INDEX(Ngưỡng!$D$3:$G$3,MATCH(MAX(W12:Z12),W12:Z12,0)))</f>
        <v>chưa rõ</v>
      </c>
      <c r="T12" s="2" t="str">
        <f aca="false">IF(B12=0,"",IF(B12&lt;Ngưỡng!$B$8,"Chưa đủ dữ liệu: tổng kết ngủ, thêm 7 ngày",IF(H12&lt;&gt;"Có",IF(AND(ISNUMBER(AA12),AA12&gt;=Ngưỡng!$B$27,ISNUMBER(Q12),Q12&lt;Ngưỡng!$B$19),"Mời Hồi sinh lực","Chưa bám rễ: gia hạn 7 ngày"),IF(AND(O12&gt;=Ngưỡng!$B$26,P12&gt;K12),"Gốc tiêu hóa: ở lại Ngủ 7 ngày, dời bữa tối",IF(AND(C12&gt;=Ngưỡng!$B$9,M12&gt;=Ngưỡng!$B$14,K12&gt;=Ngưỡng!$B$15,OR(N12&gt;=Ngưỡng!$B$16,R12&gt;=Ngưỡng!$B$17)),"Mời Xả áp lực",IF(AND(ISNUMBER(Q12),Q12&lt;Ngưỡng!$B$19),"Mời Hồi sinh lực","Vào Cổng Khỏe"))))))</f>
        <v/>
      </c>
      <c r="U12" s="3" t="str">
        <f aca="false">IF(T12="","",IF(T12="Mời Xả áp lực","14 đêm qua, giấc ngủ của bạn lên từ "&amp;TEXT(D12,"0")&amp;" lên "&amp;TEXT(E12,"0")&amp;" điểm. Nhưng "&amp;J12&amp;" trong "&amp;I12&amp;" đêm vỡ rơi đúng vào ngày bạn chấm căng từ 4, và phần lớn là căng vì "&amp;S12&amp;". Gốc rễ giờ nằm ở ban ngày, mình sang Xả áp lực nhé?",IF(T12="Mời Hồi sinh lực","Giấc ngủ của bạn đã lên "&amp;TEXT(E12,"0")&amp;" điểm, nhưng tuần này bạn vẫn chỉ chấm sáng dậy trung bình "&amp;TEXT(Q12,"0.0")&amp;" trên 5. Ngủ đủ mà vẫn mệt là chuyện của khí. Mình sang Hồi sinh lực nhé?",IF(T12="Vào Cổng Khỏe","Giấc ngủ của bạn đã vững: "&amp;TEXT(E12,"0")&amp;" điểm, "&amp;G12&amp;" đêm đạt ngưỡng tuần này. Cơ thể bạn đã yên. 30 ngày tới mình chỉ chấm điểm sáng, không giao việc nữa.",IF(LEFT(T12,3)="Gốc","Giấc ngủ lên "&amp;TEXT(E12,"0")&amp;" điểm. Nhưng "&amp;O12&amp;" đêm bạn ăn tối sau 20 giờ, và phần lớn đêm vỡ rơi vào những đêm đó. Mình ở lại thêm 7 ngày, chỉ dời bữa tối sớm hơn nhé.",IF(LEFT(T12,4)="Chưa","Giấc ngủ của bạn đang lên từ "&amp;TEXT(D12,"0")&amp;" lên "&amp;TEXT(E12,"0")&amp;" điểm, chưa đủ vững. Mình đi thêm 7 đêm nữa, không vội.",""))))))</f>
        <v/>
      </c>
      <c r="V12" s="3" t="str">
        <f aca="false">IF(B12=0,"",IF(SUMPRODUCT(MAX(('Nhật ký'!$A$2:$A$281=$A12)*('Nhật ký'!$U$2:$U$281)))&gt;=Ngưỡng!$B$21,"Căng mức 5 liên tiếp, hỏi riêng; ","")&amp;IF(COUNTIFS('Nhật ký'!$A$2:$A$281,$A12,'Nhật ký'!$H$2:$H$281,"Lo hồi hộp")&gt;=Ngưỡng!$B$22,"Lo hồi hộp nhiều đêm, gợi ý người thật; ","")&amp;IF(SUMPRODUCT(MAX(('Nhật ký'!$A$2:$A$281=$A12)*('Nhật ký'!$V$2:$V$281)))&gt;=Ngưỡng!$B$23,"Tỉnh đêm kéo dài, gợi ý khám; ","")&amp;IF(SUMPRODUCT(MAX(('Nhật ký'!$A$2:$A$281=$A12)*('Nhật ký'!$W$2:$W$281)))&gt;=Ngưỡng!$B$24,"Thiếu dữ liệu nhiều ngày, hỏi một câu; ",""))</f>
        <v/>
      </c>
      <c r="W12" s="4" t="n">
        <f aca="false">COUNTIFS('Nhật ký'!$A$2:$A$281,$A12,'Nhật ký'!$J$2:$J$281,"Việc",'Nhật ký'!$Q$2:$Q$281,1)</f>
        <v>0</v>
      </c>
      <c r="X12" s="4" t="n">
        <f aca="false">COUNTIFS('Nhật ký'!$A$2:$A$281,$A12,'Nhật ký'!$J$2:$J$281,"Tiền",'Nhật ký'!$Q$2:$Q$281,1)</f>
        <v>0</v>
      </c>
      <c r="Y12" s="4" t="n">
        <f aca="false">COUNTIFS('Nhật ký'!$A$2:$A$281,$A12,'Nhật ký'!$J$2:$J$281,"Người",'Nhật ký'!$Q$2:$Q$281,1)</f>
        <v>0</v>
      </c>
      <c r="Z12" s="4" t="n">
        <f aca="false">COUNTIFS('Nhật ký'!$A$2:$A$281,$A12,'Nhật ký'!$J$2:$J$281,"Không rõ",'Nhật ký'!$Q$2:$Q$281,1)</f>
        <v>0</v>
      </c>
      <c r="AA12" s="17" t="str">
        <f aca="false">IFERROR(AVERAGEIFS('Nhật ký'!$X$2:$X$281,'Nhật ký'!$A$2:$A$281,$A12,'Nhật ký'!$C$2:$C$281,2),"")</f>
        <v/>
      </c>
    </row>
    <row r="13" customFormat="false" ht="15" hidden="false" customHeight="false" outlineLevel="0" collapsed="false">
      <c r="A13" s="0" t="s">
        <v>92</v>
      </c>
      <c r="B13" s="4" t="n">
        <f aca="false">COUNTIFS('Nhật ký'!$A$2:$A$281,$A13,'Nhật ký'!$O$2:$O$281,1)</f>
        <v>0</v>
      </c>
      <c r="C13" s="4" t="n">
        <f aca="false">COUNTIFS('Nhật ký'!$A$2:$A$281,$A13,'Nhật ký'!$Q$2:$Q$281,1)</f>
        <v>0</v>
      </c>
      <c r="D13" s="17" t="str">
        <f aca="false">IFERROR(AVERAGEIFS('Nhật ký'!$N$2:$N$281,'Nhật ký'!$A$2:$A$281,$A13,'Nhật ký'!$C$2:$C$281,1),"")</f>
        <v/>
      </c>
      <c r="E13" s="17" t="str">
        <f aca="false">IFERROR(AVERAGEIFS('Nhật ký'!$N$2:$N$281,'Nhật ký'!$A$2:$A$281,$A13,'Nhật ký'!$C$2:$C$281,2),"")</f>
        <v/>
      </c>
      <c r="F13" s="17" t="str">
        <f aca="false">IF(OR(D13="",E13=""),"",E13-D13)</f>
        <v/>
      </c>
      <c r="G13" s="4" t="n">
        <f aca="false">COUNTIFS('Nhật ký'!$A$2:$A$281,$A13,'Nhật ký'!$T$2:$T$281,1,'Nhật ký'!$C$2:$C$281,2)</f>
        <v>0</v>
      </c>
      <c r="H13" s="4" t="str">
        <f aca="false">IF(F13="","",IF(AND(F13&gt;=Ngưỡng!$B$11,G13&gt;=Ngưỡng!$B$12),"Có","Chưa"))</f>
        <v/>
      </c>
      <c r="I13" s="4" t="n">
        <f aca="false">COUNTIFS('Nhật ký'!$A$2:$A$281,$A13,'Nhật ký'!$P$2:$P$281,1)</f>
        <v>0</v>
      </c>
      <c r="J13" s="4" t="n">
        <f aca="false">COUNTIFS('Nhật ký'!$A$2:$A$281,$A13,'Nhật ký'!$P$2:$P$281,1,'Nhật ký'!$Q$2:$Q$281,1)</f>
        <v>0</v>
      </c>
      <c r="K13" s="18" t="n">
        <f aca="false">IFERROR(J13/C13,0)</f>
        <v>0</v>
      </c>
      <c r="L13" s="18" t="n">
        <f aca="false">IFERROR(COUNTIFS('Nhật ký'!$A$2:$A$281,$A13,'Nhật ký'!$P$2:$P$281,1,'Nhật ký'!$Q$2:$Q$281,0)/COUNTIFS('Nhật ký'!$A$2:$A$281,$A13,'Nhật ký'!$Q$2:$Q$281,0),0)</f>
        <v>0</v>
      </c>
      <c r="M13" s="18" t="n">
        <f aca="false">K13-L13</f>
        <v>0</v>
      </c>
      <c r="N13" s="18" t="n">
        <f aca="false">IFERROR(COUNTIFS('Nhật ký'!$A$2:$A$281,$A13,'Nhật ký'!$R$2:$R$281,1)/14,0)</f>
        <v>0</v>
      </c>
      <c r="O13" s="4" t="n">
        <f aca="false">COUNTIFS('Nhật ký'!$A$2:$A$281,$A13,'Nhật ký'!$S$2:$S$281,1)</f>
        <v>0</v>
      </c>
      <c r="P13" s="18" t="n">
        <f aca="false">IFERROR(COUNTIFS('Nhật ký'!$A$2:$A$281,$A13,'Nhật ký'!$P$2:$P$281,1,'Nhật ký'!$S$2:$S$281,1)/O13,0)</f>
        <v>0</v>
      </c>
      <c r="Q13" s="17" t="str">
        <f aca="false">IFERROR(AVERAGEIFS('Nhật ký'!$G$2:$G$281,'Nhật ký'!$A$2:$A$281,$A13,'Nhật ký'!$C$2:$C$281,2),"")</f>
        <v/>
      </c>
      <c r="R13" s="4" t="n">
        <f aca="false">COUNTIFS('Nhật ký'!$A$2:$A$281,$A13,'Nhật ký'!$Q$2:$Q$281,1,'Nhật ký'!$C$2:$C$281,2)</f>
        <v>0</v>
      </c>
      <c r="S13" s="4" t="str">
        <f aca="false">IF(MAX(W13:Z13)=0,"chưa rõ",INDEX(Ngưỡng!$D$3:$G$3,MATCH(MAX(W13:Z13),W13:Z13,0)))</f>
        <v>chưa rõ</v>
      </c>
      <c r="T13" s="2" t="str">
        <f aca="false">IF(B13=0,"",IF(B13&lt;Ngưỡng!$B$8,"Chưa đủ dữ liệu: tổng kết ngủ, thêm 7 ngày",IF(H13&lt;&gt;"Có",IF(AND(ISNUMBER(AA13),AA13&gt;=Ngưỡng!$B$27,ISNUMBER(Q13),Q13&lt;Ngưỡng!$B$19),"Mời Hồi sinh lực","Chưa bám rễ: gia hạn 7 ngày"),IF(AND(O13&gt;=Ngưỡng!$B$26,P13&gt;K13),"Gốc tiêu hóa: ở lại Ngủ 7 ngày, dời bữa tối",IF(AND(C13&gt;=Ngưỡng!$B$9,M13&gt;=Ngưỡng!$B$14,K13&gt;=Ngưỡng!$B$15,OR(N13&gt;=Ngưỡng!$B$16,R13&gt;=Ngưỡng!$B$17)),"Mời Xả áp lực",IF(AND(ISNUMBER(Q13),Q13&lt;Ngưỡng!$B$19),"Mời Hồi sinh lực","Vào Cổng Khỏe"))))))</f>
        <v/>
      </c>
      <c r="U13" s="3" t="str">
        <f aca="false">IF(T13="","",IF(T13="Mời Xả áp lực","14 đêm qua, giấc ngủ của bạn lên từ "&amp;TEXT(D13,"0")&amp;" lên "&amp;TEXT(E13,"0")&amp;" điểm. Nhưng "&amp;J13&amp;" trong "&amp;I13&amp;" đêm vỡ rơi đúng vào ngày bạn chấm căng từ 4, và phần lớn là căng vì "&amp;S13&amp;". Gốc rễ giờ nằm ở ban ngày, mình sang Xả áp lực nhé?",IF(T13="Mời Hồi sinh lực","Giấc ngủ của bạn đã lên "&amp;TEXT(E13,"0")&amp;" điểm, nhưng tuần này bạn vẫn chỉ chấm sáng dậy trung bình "&amp;TEXT(Q13,"0.0")&amp;" trên 5. Ngủ đủ mà vẫn mệt là chuyện của khí. Mình sang Hồi sinh lực nhé?",IF(T13="Vào Cổng Khỏe","Giấc ngủ của bạn đã vững: "&amp;TEXT(E13,"0")&amp;" điểm, "&amp;G13&amp;" đêm đạt ngưỡng tuần này. Cơ thể bạn đã yên. 30 ngày tới mình chỉ chấm điểm sáng, không giao việc nữa.",IF(LEFT(T13,3)="Gốc","Giấc ngủ lên "&amp;TEXT(E13,"0")&amp;" điểm. Nhưng "&amp;O13&amp;" đêm bạn ăn tối sau 20 giờ, và phần lớn đêm vỡ rơi vào những đêm đó. Mình ở lại thêm 7 ngày, chỉ dời bữa tối sớm hơn nhé.",IF(LEFT(T13,4)="Chưa","Giấc ngủ của bạn đang lên từ "&amp;TEXT(D13,"0")&amp;" lên "&amp;TEXT(E13,"0")&amp;" điểm, chưa đủ vững. Mình đi thêm 7 đêm nữa, không vội.",""))))))</f>
        <v/>
      </c>
      <c r="V13" s="3" t="str">
        <f aca="false">IF(B13=0,"",IF(SUMPRODUCT(MAX(('Nhật ký'!$A$2:$A$281=$A13)*('Nhật ký'!$U$2:$U$281)))&gt;=Ngưỡng!$B$21,"Căng mức 5 liên tiếp, hỏi riêng; ","")&amp;IF(COUNTIFS('Nhật ký'!$A$2:$A$281,$A13,'Nhật ký'!$H$2:$H$281,"Lo hồi hộp")&gt;=Ngưỡng!$B$22,"Lo hồi hộp nhiều đêm, gợi ý người thật; ","")&amp;IF(SUMPRODUCT(MAX(('Nhật ký'!$A$2:$A$281=$A13)*('Nhật ký'!$V$2:$V$281)))&gt;=Ngưỡng!$B$23,"Tỉnh đêm kéo dài, gợi ý khám; ","")&amp;IF(SUMPRODUCT(MAX(('Nhật ký'!$A$2:$A$281=$A13)*('Nhật ký'!$W$2:$W$281)))&gt;=Ngưỡng!$B$24,"Thiếu dữ liệu nhiều ngày, hỏi một câu; ",""))</f>
        <v/>
      </c>
      <c r="W13" s="4" t="n">
        <f aca="false">COUNTIFS('Nhật ký'!$A$2:$A$281,$A13,'Nhật ký'!$J$2:$J$281,"Việc",'Nhật ký'!$Q$2:$Q$281,1)</f>
        <v>0</v>
      </c>
      <c r="X13" s="4" t="n">
        <f aca="false">COUNTIFS('Nhật ký'!$A$2:$A$281,$A13,'Nhật ký'!$J$2:$J$281,"Tiền",'Nhật ký'!$Q$2:$Q$281,1)</f>
        <v>0</v>
      </c>
      <c r="Y13" s="4" t="n">
        <f aca="false">COUNTIFS('Nhật ký'!$A$2:$A$281,$A13,'Nhật ký'!$J$2:$J$281,"Người",'Nhật ký'!$Q$2:$Q$281,1)</f>
        <v>0</v>
      </c>
      <c r="Z13" s="4" t="n">
        <f aca="false">COUNTIFS('Nhật ký'!$A$2:$A$281,$A13,'Nhật ký'!$J$2:$J$281,"Không rõ",'Nhật ký'!$Q$2:$Q$281,1)</f>
        <v>0</v>
      </c>
      <c r="AA13" s="17" t="str">
        <f aca="false">IFERROR(AVERAGEIFS('Nhật ký'!$X$2:$X$281,'Nhật ký'!$A$2:$A$281,$A13,'Nhật ký'!$C$2:$C$281,2),"")</f>
        <v/>
      </c>
    </row>
    <row r="14" customFormat="false" ht="15" hidden="false" customHeight="false" outlineLevel="0" collapsed="false">
      <c r="A14" s="0" t="s">
        <v>93</v>
      </c>
      <c r="B14" s="4" t="n">
        <f aca="false">COUNTIFS('Nhật ký'!$A$2:$A$281,$A14,'Nhật ký'!$O$2:$O$281,1)</f>
        <v>0</v>
      </c>
      <c r="C14" s="4" t="n">
        <f aca="false">COUNTIFS('Nhật ký'!$A$2:$A$281,$A14,'Nhật ký'!$Q$2:$Q$281,1)</f>
        <v>0</v>
      </c>
      <c r="D14" s="17" t="str">
        <f aca="false">IFERROR(AVERAGEIFS('Nhật ký'!$N$2:$N$281,'Nhật ký'!$A$2:$A$281,$A14,'Nhật ký'!$C$2:$C$281,1),"")</f>
        <v/>
      </c>
      <c r="E14" s="17" t="str">
        <f aca="false">IFERROR(AVERAGEIFS('Nhật ký'!$N$2:$N$281,'Nhật ký'!$A$2:$A$281,$A14,'Nhật ký'!$C$2:$C$281,2),"")</f>
        <v/>
      </c>
      <c r="F14" s="17" t="str">
        <f aca="false">IF(OR(D14="",E14=""),"",E14-D14)</f>
        <v/>
      </c>
      <c r="G14" s="4" t="n">
        <f aca="false">COUNTIFS('Nhật ký'!$A$2:$A$281,$A14,'Nhật ký'!$T$2:$T$281,1,'Nhật ký'!$C$2:$C$281,2)</f>
        <v>0</v>
      </c>
      <c r="H14" s="4" t="str">
        <f aca="false">IF(F14="","",IF(AND(F14&gt;=Ngưỡng!$B$11,G14&gt;=Ngưỡng!$B$12),"Có","Chưa"))</f>
        <v/>
      </c>
      <c r="I14" s="4" t="n">
        <f aca="false">COUNTIFS('Nhật ký'!$A$2:$A$281,$A14,'Nhật ký'!$P$2:$P$281,1)</f>
        <v>0</v>
      </c>
      <c r="J14" s="4" t="n">
        <f aca="false">COUNTIFS('Nhật ký'!$A$2:$A$281,$A14,'Nhật ký'!$P$2:$P$281,1,'Nhật ký'!$Q$2:$Q$281,1)</f>
        <v>0</v>
      </c>
      <c r="K14" s="18" t="n">
        <f aca="false">IFERROR(J14/C14,0)</f>
        <v>0</v>
      </c>
      <c r="L14" s="18" t="n">
        <f aca="false">IFERROR(COUNTIFS('Nhật ký'!$A$2:$A$281,$A14,'Nhật ký'!$P$2:$P$281,1,'Nhật ký'!$Q$2:$Q$281,0)/COUNTIFS('Nhật ký'!$A$2:$A$281,$A14,'Nhật ký'!$Q$2:$Q$281,0),0)</f>
        <v>0</v>
      </c>
      <c r="M14" s="18" t="n">
        <f aca="false">K14-L14</f>
        <v>0</v>
      </c>
      <c r="N14" s="18" t="n">
        <f aca="false">IFERROR(COUNTIFS('Nhật ký'!$A$2:$A$281,$A14,'Nhật ký'!$R$2:$R$281,1)/14,0)</f>
        <v>0</v>
      </c>
      <c r="O14" s="4" t="n">
        <f aca="false">COUNTIFS('Nhật ký'!$A$2:$A$281,$A14,'Nhật ký'!$S$2:$S$281,1)</f>
        <v>0</v>
      </c>
      <c r="P14" s="18" t="n">
        <f aca="false">IFERROR(COUNTIFS('Nhật ký'!$A$2:$A$281,$A14,'Nhật ký'!$P$2:$P$281,1,'Nhật ký'!$S$2:$S$281,1)/O14,0)</f>
        <v>0</v>
      </c>
      <c r="Q14" s="17" t="str">
        <f aca="false">IFERROR(AVERAGEIFS('Nhật ký'!$G$2:$G$281,'Nhật ký'!$A$2:$A$281,$A14,'Nhật ký'!$C$2:$C$281,2),"")</f>
        <v/>
      </c>
      <c r="R14" s="4" t="n">
        <f aca="false">COUNTIFS('Nhật ký'!$A$2:$A$281,$A14,'Nhật ký'!$Q$2:$Q$281,1,'Nhật ký'!$C$2:$C$281,2)</f>
        <v>0</v>
      </c>
      <c r="S14" s="4" t="str">
        <f aca="false">IF(MAX(W14:Z14)=0,"chưa rõ",INDEX(Ngưỡng!$D$3:$G$3,MATCH(MAX(W14:Z14),W14:Z14,0)))</f>
        <v>chưa rõ</v>
      </c>
      <c r="T14" s="2" t="str">
        <f aca="false">IF(B14=0,"",IF(B14&lt;Ngưỡng!$B$8,"Chưa đủ dữ liệu: tổng kết ngủ, thêm 7 ngày",IF(H14&lt;&gt;"Có",IF(AND(ISNUMBER(AA14),AA14&gt;=Ngưỡng!$B$27,ISNUMBER(Q14),Q14&lt;Ngưỡng!$B$19),"Mời Hồi sinh lực","Chưa bám rễ: gia hạn 7 ngày"),IF(AND(O14&gt;=Ngưỡng!$B$26,P14&gt;K14),"Gốc tiêu hóa: ở lại Ngủ 7 ngày, dời bữa tối",IF(AND(C14&gt;=Ngưỡng!$B$9,M14&gt;=Ngưỡng!$B$14,K14&gt;=Ngưỡng!$B$15,OR(N14&gt;=Ngưỡng!$B$16,R14&gt;=Ngưỡng!$B$17)),"Mời Xả áp lực",IF(AND(ISNUMBER(Q14),Q14&lt;Ngưỡng!$B$19),"Mời Hồi sinh lực","Vào Cổng Khỏe"))))))</f>
        <v/>
      </c>
      <c r="U14" s="3" t="str">
        <f aca="false">IF(T14="","",IF(T14="Mời Xả áp lực","14 đêm qua, giấc ngủ của bạn lên từ "&amp;TEXT(D14,"0")&amp;" lên "&amp;TEXT(E14,"0")&amp;" điểm. Nhưng "&amp;J14&amp;" trong "&amp;I14&amp;" đêm vỡ rơi đúng vào ngày bạn chấm căng từ 4, và phần lớn là căng vì "&amp;S14&amp;". Gốc rễ giờ nằm ở ban ngày, mình sang Xả áp lực nhé?",IF(T14="Mời Hồi sinh lực","Giấc ngủ của bạn đã lên "&amp;TEXT(E14,"0")&amp;" điểm, nhưng tuần này bạn vẫn chỉ chấm sáng dậy trung bình "&amp;TEXT(Q14,"0.0")&amp;" trên 5. Ngủ đủ mà vẫn mệt là chuyện của khí. Mình sang Hồi sinh lực nhé?",IF(T14="Vào Cổng Khỏe","Giấc ngủ của bạn đã vững: "&amp;TEXT(E14,"0")&amp;" điểm, "&amp;G14&amp;" đêm đạt ngưỡng tuần này. Cơ thể bạn đã yên. 30 ngày tới mình chỉ chấm điểm sáng, không giao việc nữa.",IF(LEFT(T14,3)="Gốc","Giấc ngủ lên "&amp;TEXT(E14,"0")&amp;" điểm. Nhưng "&amp;O14&amp;" đêm bạn ăn tối sau 20 giờ, và phần lớn đêm vỡ rơi vào những đêm đó. Mình ở lại thêm 7 ngày, chỉ dời bữa tối sớm hơn nhé.",IF(LEFT(T14,4)="Chưa","Giấc ngủ của bạn đang lên từ "&amp;TEXT(D14,"0")&amp;" lên "&amp;TEXT(E14,"0")&amp;" điểm, chưa đủ vững. Mình đi thêm 7 đêm nữa, không vội.",""))))))</f>
        <v/>
      </c>
      <c r="V14" s="3" t="str">
        <f aca="false">IF(B14=0,"",IF(SUMPRODUCT(MAX(('Nhật ký'!$A$2:$A$281=$A14)*('Nhật ký'!$U$2:$U$281)))&gt;=Ngưỡng!$B$21,"Căng mức 5 liên tiếp, hỏi riêng; ","")&amp;IF(COUNTIFS('Nhật ký'!$A$2:$A$281,$A14,'Nhật ký'!$H$2:$H$281,"Lo hồi hộp")&gt;=Ngưỡng!$B$22,"Lo hồi hộp nhiều đêm, gợi ý người thật; ","")&amp;IF(SUMPRODUCT(MAX(('Nhật ký'!$A$2:$A$281=$A14)*('Nhật ký'!$V$2:$V$281)))&gt;=Ngưỡng!$B$23,"Tỉnh đêm kéo dài, gợi ý khám; ","")&amp;IF(SUMPRODUCT(MAX(('Nhật ký'!$A$2:$A$281=$A14)*('Nhật ký'!$W$2:$W$281)))&gt;=Ngưỡng!$B$24,"Thiếu dữ liệu nhiều ngày, hỏi một câu; ",""))</f>
        <v/>
      </c>
      <c r="W14" s="4" t="n">
        <f aca="false">COUNTIFS('Nhật ký'!$A$2:$A$281,$A14,'Nhật ký'!$J$2:$J$281,"Việc",'Nhật ký'!$Q$2:$Q$281,1)</f>
        <v>0</v>
      </c>
      <c r="X14" s="4" t="n">
        <f aca="false">COUNTIFS('Nhật ký'!$A$2:$A$281,$A14,'Nhật ký'!$J$2:$J$281,"Tiền",'Nhật ký'!$Q$2:$Q$281,1)</f>
        <v>0</v>
      </c>
      <c r="Y14" s="4" t="n">
        <f aca="false">COUNTIFS('Nhật ký'!$A$2:$A$281,$A14,'Nhật ký'!$J$2:$J$281,"Người",'Nhật ký'!$Q$2:$Q$281,1)</f>
        <v>0</v>
      </c>
      <c r="Z14" s="4" t="n">
        <f aca="false">COUNTIFS('Nhật ký'!$A$2:$A$281,$A14,'Nhật ký'!$J$2:$J$281,"Không rõ",'Nhật ký'!$Q$2:$Q$281,1)</f>
        <v>0</v>
      </c>
      <c r="AA14" s="17" t="str">
        <f aca="false">IFERROR(AVERAGEIFS('Nhật ký'!$X$2:$X$281,'Nhật ký'!$A$2:$A$281,$A14,'Nhật ký'!$C$2:$C$281,2),"")</f>
        <v/>
      </c>
    </row>
    <row r="15" customFormat="false" ht="15" hidden="false" customHeight="false" outlineLevel="0" collapsed="false">
      <c r="A15" s="0" t="s">
        <v>94</v>
      </c>
      <c r="B15" s="4" t="n">
        <f aca="false">COUNTIFS('Nhật ký'!$A$2:$A$281,$A15,'Nhật ký'!$O$2:$O$281,1)</f>
        <v>0</v>
      </c>
      <c r="C15" s="4" t="n">
        <f aca="false">COUNTIFS('Nhật ký'!$A$2:$A$281,$A15,'Nhật ký'!$Q$2:$Q$281,1)</f>
        <v>0</v>
      </c>
      <c r="D15" s="17" t="str">
        <f aca="false">IFERROR(AVERAGEIFS('Nhật ký'!$N$2:$N$281,'Nhật ký'!$A$2:$A$281,$A15,'Nhật ký'!$C$2:$C$281,1),"")</f>
        <v/>
      </c>
      <c r="E15" s="17" t="str">
        <f aca="false">IFERROR(AVERAGEIFS('Nhật ký'!$N$2:$N$281,'Nhật ký'!$A$2:$A$281,$A15,'Nhật ký'!$C$2:$C$281,2),"")</f>
        <v/>
      </c>
      <c r="F15" s="17" t="str">
        <f aca="false">IF(OR(D15="",E15=""),"",E15-D15)</f>
        <v/>
      </c>
      <c r="G15" s="4" t="n">
        <f aca="false">COUNTIFS('Nhật ký'!$A$2:$A$281,$A15,'Nhật ký'!$T$2:$T$281,1,'Nhật ký'!$C$2:$C$281,2)</f>
        <v>0</v>
      </c>
      <c r="H15" s="4" t="str">
        <f aca="false">IF(F15="","",IF(AND(F15&gt;=Ngưỡng!$B$11,G15&gt;=Ngưỡng!$B$12),"Có","Chưa"))</f>
        <v/>
      </c>
      <c r="I15" s="4" t="n">
        <f aca="false">COUNTIFS('Nhật ký'!$A$2:$A$281,$A15,'Nhật ký'!$P$2:$P$281,1)</f>
        <v>0</v>
      </c>
      <c r="J15" s="4" t="n">
        <f aca="false">COUNTIFS('Nhật ký'!$A$2:$A$281,$A15,'Nhật ký'!$P$2:$P$281,1,'Nhật ký'!$Q$2:$Q$281,1)</f>
        <v>0</v>
      </c>
      <c r="K15" s="18" t="n">
        <f aca="false">IFERROR(J15/C15,0)</f>
        <v>0</v>
      </c>
      <c r="L15" s="18" t="n">
        <f aca="false">IFERROR(COUNTIFS('Nhật ký'!$A$2:$A$281,$A15,'Nhật ký'!$P$2:$P$281,1,'Nhật ký'!$Q$2:$Q$281,0)/COUNTIFS('Nhật ký'!$A$2:$A$281,$A15,'Nhật ký'!$Q$2:$Q$281,0),0)</f>
        <v>0</v>
      </c>
      <c r="M15" s="18" t="n">
        <f aca="false">K15-L15</f>
        <v>0</v>
      </c>
      <c r="N15" s="18" t="n">
        <f aca="false">IFERROR(COUNTIFS('Nhật ký'!$A$2:$A$281,$A15,'Nhật ký'!$R$2:$R$281,1)/14,0)</f>
        <v>0</v>
      </c>
      <c r="O15" s="4" t="n">
        <f aca="false">COUNTIFS('Nhật ký'!$A$2:$A$281,$A15,'Nhật ký'!$S$2:$S$281,1)</f>
        <v>0</v>
      </c>
      <c r="P15" s="18" t="n">
        <f aca="false">IFERROR(COUNTIFS('Nhật ký'!$A$2:$A$281,$A15,'Nhật ký'!$P$2:$P$281,1,'Nhật ký'!$S$2:$S$281,1)/O15,0)</f>
        <v>0</v>
      </c>
      <c r="Q15" s="17" t="str">
        <f aca="false">IFERROR(AVERAGEIFS('Nhật ký'!$G$2:$G$281,'Nhật ký'!$A$2:$A$281,$A15,'Nhật ký'!$C$2:$C$281,2),"")</f>
        <v/>
      </c>
      <c r="R15" s="4" t="n">
        <f aca="false">COUNTIFS('Nhật ký'!$A$2:$A$281,$A15,'Nhật ký'!$Q$2:$Q$281,1,'Nhật ký'!$C$2:$C$281,2)</f>
        <v>0</v>
      </c>
      <c r="S15" s="4" t="str">
        <f aca="false">IF(MAX(W15:Z15)=0,"chưa rõ",INDEX(Ngưỡng!$D$3:$G$3,MATCH(MAX(W15:Z15),W15:Z15,0)))</f>
        <v>chưa rõ</v>
      </c>
      <c r="T15" s="2" t="str">
        <f aca="false">IF(B15=0,"",IF(B15&lt;Ngưỡng!$B$8,"Chưa đủ dữ liệu: tổng kết ngủ, thêm 7 ngày",IF(H15&lt;&gt;"Có",IF(AND(ISNUMBER(AA15),AA15&gt;=Ngưỡng!$B$27,ISNUMBER(Q15),Q15&lt;Ngưỡng!$B$19),"Mời Hồi sinh lực","Chưa bám rễ: gia hạn 7 ngày"),IF(AND(O15&gt;=Ngưỡng!$B$26,P15&gt;K15),"Gốc tiêu hóa: ở lại Ngủ 7 ngày, dời bữa tối",IF(AND(C15&gt;=Ngưỡng!$B$9,M15&gt;=Ngưỡng!$B$14,K15&gt;=Ngưỡng!$B$15,OR(N15&gt;=Ngưỡng!$B$16,R15&gt;=Ngưỡng!$B$17)),"Mời Xả áp lực",IF(AND(ISNUMBER(Q15),Q15&lt;Ngưỡng!$B$19),"Mời Hồi sinh lực","Vào Cổng Khỏe"))))))</f>
        <v/>
      </c>
      <c r="U15" s="3" t="str">
        <f aca="false">IF(T15="","",IF(T15="Mời Xả áp lực","14 đêm qua, giấc ngủ của bạn lên từ "&amp;TEXT(D15,"0")&amp;" lên "&amp;TEXT(E15,"0")&amp;" điểm. Nhưng "&amp;J15&amp;" trong "&amp;I15&amp;" đêm vỡ rơi đúng vào ngày bạn chấm căng từ 4, và phần lớn là căng vì "&amp;S15&amp;". Gốc rễ giờ nằm ở ban ngày, mình sang Xả áp lực nhé?",IF(T15="Mời Hồi sinh lực","Giấc ngủ của bạn đã lên "&amp;TEXT(E15,"0")&amp;" điểm, nhưng tuần này bạn vẫn chỉ chấm sáng dậy trung bình "&amp;TEXT(Q15,"0.0")&amp;" trên 5. Ngủ đủ mà vẫn mệt là chuyện của khí. Mình sang Hồi sinh lực nhé?",IF(T15="Vào Cổng Khỏe","Giấc ngủ của bạn đã vững: "&amp;TEXT(E15,"0")&amp;" điểm, "&amp;G15&amp;" đêm đạt ngưỡng tuần này. Cơ thể bạn đã yên. 30 ngày tới mình chỉ chấm điểm sáng, không giao việc nữa.",IF(LEFT(T15,3)="Gốc","Giấc ngủ lên "&amp;TEXT(E15,"0")&amp;" điểm. Nhưng "&amp;O15&amp;" đêm bạn ăn tối sau 20 giờ, và phần lớn đêm vỡ rơi vào những đêm đó. Mình ở lại thêm 7 ngày, chỉ dời bữa tối sớm hơn nhé.",IF(LEFT(T15,4)="Chưa","Giấc ngủ của bạn đang lên từ "&amp;TEXT(D15,"0")&amp;" lên "&amp;TEXT(E15,"0")&amp;" điểm, chưa đủ vững. Mình đi thêm 7 đêm nữa, không vội.",""))))))</f>
        <v/>
      </c>
      <c r="V15" s="3" t="str">
        <f aca="false">IF(B15=0,"",IF(SUMPRODUCT(MAX(('Nhật ký'!$A$2:$A$281=$A15)*('Nhật ký'!$U$2:$U$281)))&gt;=Ngưỡng!$B$21,"Căng mức 5 liên tiếp, hỏi riêng; ","")&amp;IF(COUNTIFS('Nhật ký'!$A$2:$A$281,$A15,'Nhật ký'!$H$2:$H$281,"Lo hồi hộp")&gt;=Ngưỡng!$B$22,"Lo hồi hộp nhiều đêm, gợi ý người thật; ","")&amp;IF(SUMPRODUCT(MAX(('Nhật ký'!$A$2:$A$281=$A15)*('Nhật ký'!$V$2:$V$281)))&gt;=Ngưỡng!$B$23,"Tỉnh đêm kéo dài, gợi ý khám; ","")&amp;IF(SUMPRODUCT(MAX(('Nhật ký'!$A$2:$A$281=$A15)*('Nhật ký'!$W$2:$W$281)))&gt;=Ngưỡng!$B$24,"Thiếu dữ liệu nhiều ngày, hỏi một câu; ",""))</f>
        <v/>
      </c>
      <c r="W15" s="4" t="n">
        <f aca="false">COUNTIFS('Nhật ký'!$A$2:$A$281,$A15,'Nhật ký'!$J$2:$J$281,"Việc",'Nhật ký'!$Q$2:$Q$281,1)</f>
        <v>0</v>
      </c>
      <c r="X15" s="4" t="n">
        <f aca="false">COUNTIFS('Nhật ký'!$A$2:$A$281,$A15,'Nhật ký'!$J$2:$J$281,"Tiền",'Nhật ký'!$Q$2:$Q$281,1)</f>
        <v>0</v>
      </c>
      <c r="Y15" s="4" t="n">
        <f aca="false">COUNTIFS('Nhật ký'!$A$2:$A$281,$A15,'Nhật ký'!$J$2:$J$281,"Người",'Nhật ký'!$Q$2:$Q$281,1)</f>
        <v>0</v>
      </c>
      <c r="Z15" s="4" t="n">
        <f aca="false">COUNTIFS('Nhật ký'!$A$2:$A$281,$A15,'Nhật ký'!$J$2:$J$281,"Không rõ",'Nhật ký'!$Q$2:$Q$281,1)</f>
        <v>0</v>
      </c>
      <c r="AA15" s="17" t="str">
        <f aca="false">IFERROR(AVERAGEIFS('Nhật ký'!$X$2:$X$281,'Nhật ký'!$A$2:$A$281,$A15,'Nhật ký'!$C$2:$C$281,2),"")</f>
        <v/>
      </c>
    </row>
    <row r="16" customFormat="false" ht="15" hidden="false" customHeight="false" outlineLevel="0" collapsed="false">
      <c r="A16" s="0" t="s">
        <v>95</v>
      </c>
      <c r="B16" s="4" t="n">
        <f aca="false">COUNTIFS('Nhật ký'!$A$2:$A$281,$A16,'Nhật ký'!$O$2:$O$281,1)</f>
        <v>0</v>
      </c>
      <c r="C16" s="4" t="n">
        <f aca="false">COUNTIFS('Nhật ký'!$A$2:$A$281,$A16,'Nhật ký'!$Q$2:$Q$281,1)</f>
        <v>0</v>
      </c>
      <c r="D16" s="17" t="str">
        <f aca="false">IFERROR(AVERAGEIFS('Nhật ký'!$N$2:$N$281,'Nhật ký'!$A$2:$A$281,$A16,'Nhật ký'!$C$2:$C$281,1),"")</f>
        <v/>
      </c>
      <c r="E16" s="17" t="str">
        <f aca="false">IFERROR(AVERAGEIFS('Nhật ký'!$N$2:$N$281,'Nhật ký'!$A$2:$A$281,$A16,'Nhật ký'!$C$2:$C$281,2),"")</f>
        <v/>
      </c>
      <c r="F16" s="17" t="str">
        <f aca="false">IF(OR(D16="",E16=""),"",E16-D16)</f>
        <v/>
      </c>
      <c r="G16" s="4" t="n">
        <f aca="false">COUNTIFS('Nhật ký'!$A$2:$A$281,$A16,'Nhật ký'!$T$2:$T$281,1,'Nhật ký'!$C$2:$C$281,2)</f>
        <v>0</v>
      </c>
      <c r="H16" s="4" t="str">
        <f aca="false">IF(F16="","",IF(AND(F16&gt;=Ngưỡng!$B$11,G16&gt;=Ngưỡng!$B$12),"Có","Chưa"))</f>
        <v/>
      </c>
      <c r="I16" s="4" t="n">
        <f aca="false">COUNTIFS('Nhật ký'!$A$2:$A$281,$A16,'Nhật ký'!$P$2:$P$281,1)</f>
        <v>0</v>
      </c>
      <c r="J16" s="4" t="n">
        <f aca="false">COUNTIFS('Nhật ký'!$A$2:$A$281,$A16,'Nhật ký'!$P$2:$P$281,1,'Nhật ký'!$Q$2:$Q$281,1)</f>
        <v>0</v>
      </c>
      <c r="K16" s="18" t="n">
        <f aca="false">IFERROR(J16/C16,0)</f>
        <v>0</v>
      </c>
      <c r="L16" s="18" t="n">
        <f aca="false">IFERROR(COUNTIFS('Nhật ký'!$A$2:$A$281,$A16,'Nhật ký'!$P$2:$P$281,1,'Nhật ký'!$Q$2:$Q$281,0)/COUNTIFS('Nhật ký'!$A$2:$A$281,$A16,'Nhật ký'!$Q$2:$Q$281,0),0)</f>
        <v>0</v>
      </c>
      <c r="M16" s="18" t="n">
        <f aca="false">K16-L16</f>
        <v>0</v>
      </c>
      <c r="N16" s="18" t="n">
        <f aca="false">IFERROR(COUNTIFS('Nhật ký'!$A$2:$A$281,$A16,'Nhật ký'!$R$2:$R$281,1)/14,0)</f>
        <v>0</v>
      </c>
      <c r="O16" s="4" t="n">
        <f aca="false">COUNTIFS('Nhật ký'!$A$2:$A$281,$A16,'Nhật ký'!$S$2:$S$281,1)</f>
        <v>0</v>
      </c>
      <c r="P16" s="18" t="n">
        <f aca="false">IFERROR(COUNTIFS('Nhật ký'!$A$2:$A$281,$A16,'Nhật ký'!$P$2:$P$281,1,'Nhật ký'!$S$2:$S$281,1)/O16,0)</f>
        <v>0</v>
      </c>
      <c r="Q16" s="17" t="str">
        <f aca="false">IFERROR(AVERAGEIFS('Nhật ký'!$G$2:$G$281,'Nhật ký'!$A$2:$A$281,$A16,'Nhật ký'!$C$2:$C$281,2),"")</f>
        <v/>
      </c>
      <c r="R16" s="4" t="n">
        <f aca="false">COUNTIFS('Nhật ký'!$A$2:$A$281,$A16,'Nhật ký'!$Q$2:$Q$281,1,'Nhật ký'!$C$2:$C$281,2)</f>
        <v>0</v>
      </c>
      <c r="S16" s="4" t="str">
        <f aca="false">IF(MAX(W16:Z16)=0,"chưa rõ",INDEX(Ngưỡng!$D$3:$G$3,MATCH(MAX(W16:Z16),W16:Z16,0)))</f>
        <v>chưa rõ</v>
      </c>
      <c r="T16" s="2" t="str">
        <f aca="false">IF(B16=0,"",IF(B16&lt;Ngưỡng!$B$8,"Chưa đủ dữ liệu: tổng kết ngủ, thêm 7 ngày",IF(H16&lt;&gt;"Có",IF(AND(ISNUMBER(AA16),AA16&gt;=Ngưỡng!$B$27,ISNUMBER(Q16),Q16&lt;Ngưỡng!$B$19),"Mời Hồi sinh lực","Chưa bám rễ: gia hạn 7 ngày"),IF(AND(O16&gt;=Ngưỡng!$B$26,P16&gt;K16),"Gốc tiêu hóa: ở lại Ngủ 7 ngày, dời bữa tối",IF(AND(C16&gt;=Ngưỡng!$B$9,M16&gt;=Ngưỡng!$B$14,K16&gt;=Ngưỡng!$B$15,OR(N16&gt;=Ngưỡng!$B$16,R16&gt;=Ngưỡng!$B$17)),"Mời Xả áp lực",IF(AND(ISNUMBER(Q16),Q16&lt;Ngưỡng!$B$19),"Mời Hồi sinh lực","Vào Cổng Khỏe"))))))</f>
        <v/>
      </c>
      <c r="U16" s="3" t="str">
        <f aca="false">IF(T16="","",IF(T16="Mời Xả áp lực","14 đêm qua, giấc ngủ của bạn lên từ "&amp;TEXT(D16,"0")&amp;" lên "&amp;TEXT(E16,"0")&amp;" điểm. Nhưng "&amp;J16&amp;" trong "&amp;I16&amp;" đêm vỡ rơi đúng vào ngày bạn chấm căng từ 4, và phần lớn là căng vì "&amp;S16&amp;". Gốc rễ giờ nằm ở ban ngày, mình sang Xả áp lực nhé?",IF(T16="Mời Hồi sinh lực","Giấc ngủ của bạn đã lên "&amp;TEXT(E16,"0")&amp;" điểm, nhưng tuần này bạn vẫn chỉ chấm sáng dậy trung bình "&amp;TEXT(Q16,"0.0")&amp;" trên 5. Ngủ đủ mà vẫn mệt là chuyện của khí. Mình sang Hồi sinh lực nhé?",IF(T16="Vào Cổng Khỏe","Giấc ngủ của bạn đã vững: "&amp;TEXT(E16,"0")&amp;" điểm, "&amp;G16&amp;" đêm đạt ngưỡng tuần này. Cơ thể bạn đã yên. 30 ngày tới mình chỉ chấm điểm sáng, không giao việc nữa.",IF(LEFT(T16,3)="Gốc","Giấc ngủ lên "&amp;TEXT(E16,"0")&amp;" điểm. Nhưng "&amp;O16&amp;" đêm bạn ăn tối sau 20 giờ, và phần lớn đêm vỡ rơi vào những đêm đó. Mình ở lại thêm 7 ngày, chỉ dời bữa tối sớm hơn nhé.",IF(LEFT(T16,4)="Chưa","Giấc ngủ của bạn đang lên từ "&amp;TEXT(D16,"0")&amp;" lên "&amp;TEXT(E16,"0")&amp;" điểm, chưa đủ vững. Mình đi thêm 7 đêm nữa, không vội.",""))))))</f>
        <v/>
      </c>
      <c r="V16" s="3" t="str">
        <f aca="false">IF(B16=0,"",IF(SUMPRODUCT(MAX(('Nhật ký'!$A$2:$A$281=$A16)*('Nhật ký'!$U$2:$U$281)))&gt;=Ngưỡng!$B$21,"Căng mức 5 liên tiếp, hỏi riêng; ","")&amp;IF(COUNTIFS('Nhật ký'!$A$2:$A$281,$A16,'Nhật ký'!$H$2:$H$281,"Lo hồi hộp")&gt;=Ngưỡng!$B$22,"Lo hồi hộp nhiều đêm, gợi ý người thật; ","")&amp;IF(SUMPRODUCT(MAX(('Nhật ký'!$A$2:$A$281=$A16)*('Nhật ký'!$V$2:$V$281)))&gt;=Ngưỡng!$B$23,"Tỉnh đêm kéo dài, gợi ý khám; ","")&amp;IF(SUMPRODUCT(MAX(('Nhật ký'!$A$2:$A$281=$A16)*('Nhật ký'!$W$2:$W$281)))&gt;=Ngưỡng!$B$24,"Thiếu dữ liệu nhiều ngày, hỏi một câu; ",""))</f>
        <v/>
      </c>
      <c r="W16" s="4" t="n">
        <f aca="false">COUNTIFS('Nhật ký'!$A$2:$A$281,$A16,'Nhật ký'!$J$2:$J$281,"Việc",'Nhật ký'!$Q$2:$Q$281,1)</f>
        <v>0</v>
      </c>
      <c r="X16" s="4" t="n">
        <f aca="false">COUNTIFS('Nhật ký'!$A$2:$A$281,$A16,'Nhật ký'!$J$2:$J$281,"Tiền",'Nhật ký'!$Q$2:$Q$281,1)</f>
        <v>0</v>
      </c>
      <c r="Y16" s="4" t="n">
        <f aca="false">COUNTIFS('Nhật ký'!$A$2:$A$281,$A16,'Nhật ký'!$J$2:$J$281,"Người",'Nhật ký'!$Q$2:$Q$281,1)</f>
        <v>0</v>
      </c>
      <c r="Z16" s="4" t="n">
        <f aca="false">COUNTIFS('Nhật ký'!$A$2:$A$281,$A16,'Nhật ký'!$J$2:$J$281,"Không rõ",'Nhật ký'!$Q$2:$Q$281,1)</f>
        <v>0</v>
      </c>
      <c r="AA16" s="17" t="str">
        <f aca="false">IFERROR(AVERAGEIFS('Nhật ký'!$X$2:$X$281,'Nhật ký'!$A$2:$A$281,$A16,'Nhật ký'!$C$2:$C$281,2),"")</f>
        <v/>
      </c>
    </row>
    <row r="17" customFormat="false" ht="15" hidden="false" customHeight="false" outlineLevel="0" collapsed="false">
      <c r="A17" s="0" t="s">
        <v>96</v>
      </c>
      <c r="B17" s="4" t="n">
        <f aca="false">COUNTIFS('Nhật ký'!$A$2:$A$281,$A17,'Nhật ký'!$O$2:$O$281,1)</f>
        <v>0</v>
      </c>
      <c r="C17" s="4" t="n">
        <f aca="false">COUNTIFS('Nhật ký'!$A$2:$A$281,$A17,'Nhật ký'!$Q$2:$Q$281,1)</f>
        <v>0</v>
      </c>
      <c r="D17" s="17" t="str">
        <f aca="false">IFERROR(AVERAGEIFS('Nhật ký'!$N$2:$N$281,'Nhật ký'!$A$2:$A$281,$A17,'Nhật ký'!$C$2:$C$281,1),"")</f>
        <v/>
      </c>
      <c r="E17" s="17" t="str">
        <f aca="false">IFERROR(AVERAGEIFS('Nhật ký'!$N$2:$N$281,'Nhật ký'!$A$2:$A$281,$A17,'Nhật ký'!$C$2:$C$281,2),"")</f>
        <v/>
      </c>
      <c r="F17" s="17" t="str">
        <f aca="false">IF(OR(D17="",E17=""),"",E17-D17)</f>
        <v/>
      </c>
      <c r="G17" s="4" t="n">
        <f aca="false">COUNTIFS('Nhật ký'!$A$2:$A$281,$A17,'Nhật ký'!$T$2:$T$281,1,'Nhật ký'!$C$2:$C$281,2)</f>
        <v>0</v>
      </c>
      <c r="H17" s="4" t="str">
        <f aca="false">IF(F17="","",IF(AND(F17&gt;=Ngưỡng!$B$11,G17&gt;=Ngưỡng!$B$12),"Có","Chưa"))</f>
        <v/>
      </c>
      <c r="I17" s="4" t="n">
        <f aca="false">COUNTIFS('Nhật ký'!$A$2:$A$281,$A17,'Nhật ký'!$P$2:$P$281,1)</f>
        <v>0</v>
      </c>
      <c r="J17" s="4" t="n">
        <f aca="false">COUNTIFS('Nhật ký'!$A$2:$A$281,$A17,'Nhật ký'!$P$2:$P$281,1,'Nhật ký'!$Q$2:$Q$281,1)</f>
        <v>0</v>
      </c>
      <c r="K17" s="18" t="n">
        <f aca="false">IFERROR(J17/C17,0)</f>
        <v>0</v>
      </c>
      <c r="L17" s="18" t="n">
        <f aca="false">IFERROR(COUNTIFS('Nhật ký'!$A$2:$A$281,$A17,'Nhật ký'!$P$2:$P$281,1,'Nhật ký'!$Q$2:$Q$281,0)/COUNTIFS('Nhật ký'!$A$2:$A$281,$A17,'Nhật ký'!$Q$2:$Q$281,0),0)</f>
        <v>0</v>
      </c>
      <c r="M17" s="18" t="n">
        <f aca="false">K17-L17</f>
        <v>0</v>
      </c>
      <c r="N17" s="18" t="n">
        <f aca="false">IFERROR(COUNTIFS('Nhật ký'!$A$2:$A$281,$A17,'Nhật ký'!$R$2:$R$281,1)/14,0)</f>
        <v>0</v>
      </c>
      <c r="O17" s="4" t="n">
        <f aca="false">COUNTIFS('Nhật ký'!$A$2:$A$281,$A17,'Nhật ký'!$S$2:$S$281,1)</f>
        <v>0</v>
      </c>
      <c r="P17" s="18" t="n">
        <f aca="false">IFERROR(COUNTIFS('Nhật ký'!$A$2:$A$281,$A17,'Nhật ký'!$P$2:$P$281,1,'Nhật ký'!$S$2:$S$281,1)/O17,0)</f>
        <v>0</v>
      </c>
      <c r="Q17" s="17" t="str">
        <f aca="false">IFERROR(AVERAGEIFS('Nhật ký'!$G$2:$G$281,'Nhật ký'!$A$2:$A$281,$A17,'Nhật ký'!$C$2:$C$281,2),"")</f>
        <v/>
      </c>
      <c r="R17" s="4" t="n">
        <f aca="false">COUNTIFS('Nhật ký'!$A$2:$A$281,$A17,'Nhật ký'!$Q$2:$Q$281,1,'Nhật ký'!$C$2:$C$281,2)</f>
        <v>0</v>
      </c>
      <c r="S17" s="4" t="str">
        <f aca="false">IF(MAX(W17:Z17)=0,"chưa rõ",INDEX(Ngưỡng!$D$3:$G$3,MATCH(MAX(W17:Z17),W17:Z17,0)))</f>
        <v>chưa rõ</v>
      </c>
      <c r="T17" s="2" t="str">
        <f aca="false">IF(B17=0,"",IF(B17&lt;Ngưỡng!$B$8,"Chưa đủ dữ liệu: tổng kết ngủ, thêm 7 ngày",IF(H17&lt;&gt;"Có",IF(AND(ISNUMBER(AA17),AA17&gt;=Ngưỡng!$B$27,ISNUMBER(Q17),Q17&lt;Ngưỡng!$B$19),"Mời Hồi sinh lực","Chưa bám rễ: gia hạn 7 ngày"),IF(AND(O17&gt;=Ngưỡng!$B$26,P17&gt;K17),"Gốc tiêu hóa: ở lại Ngủ 7 ngày, dời bữa tối",IF(AND(C17&gt;=Ngưỡng!$B$9,M17&gt;=Ngưỡng!$B$14,K17&gt;=Ngưỡng!$B$15,OR(N17&gt;=Ngưỡng!$B$16,R17&gt;=Ngưỡng!$B$17)),"Mời Xả áp lực",IF(AND(ISNUMBER(Q17),Q17&lt;Ngưỡng!$B$19),"Mời Hồi sinh lực","Vào Cổng Khỏe"))))))</f>
        <v/>
      </c>
      <c r="U17" s="3" t="str">
        <f aca="false">IF(T17="","",IF(T17="Mời Xả áp lực","14 đêm qua, giấc ngủ của bạn lên từ "&amp;TEXT(D17,"0")&amp;" lên "&amp;TEXT(E17,"0")&amp;" điểm. Nhưng "&amp;J17&amp;" trong "&amp;I17&amp;" đêm vỡ rơi đúng vào ngày bạn chấm căng từ 4, và phần lớn là căng vì "&amp;S17&amp;". Gốc rễ giờ nằm ở ban ngày, mình sang Xả áp lực nhé?",IF(T17="Mời Hồi sinh lực","Giấc ngủ của bạn đã lên "&amp;TEXT(E17,"0")&amp;" điểm, nhưng tuần này bạn vẫn chỉ chấm sáng dậy trung bình "&amp;TEXT(Q17,"0.0")&amp;" trên 5. Ngủ đủ mà vẫn mệt là chuyện của khí. Mình sang Hồi sinh lực nhé?",IF(T17="Vào Cổng Khỏe","Giấc ngủ của bạn đã vững: "&amp;TEXT(E17,"0")&amp;" điểm, "&amp;G17&amp;" đêm đạt ngưỡng tuần này. Cơ thể bạn đã yên. 30 ngày tới mình chỉ chấm điểm sáng, không giao việc nữa.",IF(LEFT(T17,3)="Gốc","Giấc ngủ lên "&amp;TEXT(E17,"0")&amp;" điểm. Nhưng "&amp;O17&amp;" đêm bạn ăn tối sau 20 giờ, và phần lớn đêm vỡ rơi vào những đêm đó. Mình ở lại thêm 7 ngày, chỉ dời bữa tối sớm hơn nhé.",IF(LEFT(T17,4)="Chưa","Giấc ngủ của bạn đang lên từ "&amp;TEXT(D17,"0")&amp;" lên "&amp;TEXT(E17,"0")&amp;" điểm, chưa đủ vững. Mình đi thêm 7 đêm nữa, không vội.",""))))))</f>
        <v/>
      </c>
      <c r="V17" s="3" t="str">
        <f aca="false">IF(B17=0,"",IF(SUMPRODUCT(MAX(('Nhật ký'!$A$2:$A$281=$A17)*('Nhật ký'!$U$2:$U$281)))&gt;=Ngưỡng!$B$21,"Căng mức 5 liên tiếp, hỏi riêng; ","")&amp;IF(COUNTIFS('Nhật ký'!$A$2:$A$281,$A17,'Nhật ký'!$H$2:$H$281,"Lo hồi hộp")&gt;=Ngưỡng!$B$22,"Lo hồi hộp nhiều đêm, gợi ý người thật; ","")&amp;IF(SUMPRODUCT(MAX(('Nhật ký'!$A$2:$A$281=$A17)*('Nhật ký'!$V$2:$V$281)))&gt;=Ngưỡng!$B$23,"Tỉnh đêm kéo dài, gợi ý khám; ","")&amp;IF(SUMPRODUCT(MAX(('Nhật ký'!$A$2:$A$281=$A17)*('Nhật ký'!$W$2:$W$281)))&gt;=Ngưỡng!$B$24,"Thiếu dữ liệu nhiều ngày, hỏi một câu; ",""))</f>
        <v/>
      </c>
      <c r="W17" s="4" t="n">
        <f aca="false">COUNTIFS('Nhật ký'!$A$2:$A$281,$A17,'Nhật ký'!$J$2:$J$281,"Việc",'Nhật ký'!$Q$2:$Q$281,1)</f>
        <v>0</v>
      </c>
      <c r="X17" s="4" t="n">
        <f aca="false">COUNTIFS('Nhật ký'!$A$2:$A$281,$A17,'Nhật ký'!$J$2:$J$281,"Tiền",'Nhật ký'!$Q$2:$Q$281,1)</f>
        <v>0</v>
      </c>
      <c r="Y17" s="4" t="n">
        <f aca="false">COUNTIFS('Nhật ký'!$A$2:$A$281,$A17,'Nhật ký'!$J$2:$J$281,"Người",'Nhật ký'!$Q$2:$Q$281,1)</f>
        <v>0</v>
      </c>
      <c r="Z17" s="4" t="n">
        <f aca="false">COUNTIFS('Nhật ký'!$A$2:$A$281,$A17,'Nhật ký'!$J$2:$J$281,"Không rõ",'Nhật ký'!$Q$2:$Q$281,1)</f>
        <v>0</v>
      </c>
      <c r="AA17" s="17" t="str">
        <f aca="false">IFERROR(AVERAGEIFS('Nhật ký'!$X$2:$X$281,'Nhật ký'!$A$2:$A$281,$A17,'Nhật ký'!$C$2:$C$281,2),"")</f>
        <v/>
      </c>
    </row>
    <row r="18" customFormat="false" ht="15" hidden="false" customHeight="false" outlineLevel="0" collapsed="false">
      <c r="A18" s="0" t="s">
        <v>97</v>
      </c>
      <c r="B18" s="4" t="n">
        <f aca="false">COUNTIFS('Nhật ký'!$A$2:$A$281,$A18,'Nhật ký'!$O$2:$O$281,1)</f>
        <v>0</v>
      </c>
      <c r="C18" s="4" t="n">
        <f aca="false">COUNTIFS('Nhật ký'!$A$2:$A$281,$A18,'Nhật ký'!$Q$2:$Q$281,1)</f>
        <v>0</v>
      </c>
      <c r="D18" s="17" t="str">
        <f aca="false">IFERROR(AVERAGEIFS('Nhật ký'!$N$2:$N$281,'Nhật ký'!$A$2:$A$281,$A18,'Nhật ký'!$C$2:$C$281,1),"")</f>
        <v/>
      </c>
      <c r="E18" s="17" t="str">
        <f aca="false">IFERROR(AVERAGEIFS('Nhật ký'!$N$2:$N$281,'Nhật ký'!$A$2:$A$281,$A18,'Nhật ký'!$C$2:$C$281,2),"")</f>
        <v/>
      </c>
      <c r="F18" s="17" t="str">
        <f aca="false">IF(OR(D18="",E18=""),"",E18-D18)</f>
        <v/>
      </c>
      <c r="G18" s="4" t="n">
        <f aca="false">COUNTIFS('Nhật ký'!$A$2:$A$281,$A18,'Nhật ký'!$T$2:$T$281,1,'Nhật ký'!$C$2:$C$281,2)</f>
        <v>0</v>
      </c>
      <c r="H18" s="4" t="str">
        <f aca="false">IF(F18="","",IF(AND(F18&gt;=Ngưỡng!$B$11,G18&gt;=Ngưỡng!$B$12),"Có","Chưa"))</f>
        <v/>
      </c>
      <c r="I18" s="4" t="n">
        <f aca="false">COUNTIFS('Nhật ký'!$A$2:$A$281,$A18,'Nhật ký'!$P$2:$P$281,1)</f>
        <v>0</v>
      </c>
      <c r="J18" s="4" t="n">
        <f aca="false">COUNTIFS('Nhật ký'!$A$2:$A$281,$A18,'Nhật ký'!$P$2:$P$281,1,'Nhật ký'!$Q$2:$Q$281,1)</f>
        <v>0</v>
      </c>
      <c r="K18" s="18" t="n">
        <f aca="false">IFERROR(J18/C18,0)</f>
        <v>0</v>
      </c>
      <c r="L18" s="18" t="n">
        <f aca="false">IFERROR(COUNTIFS('Nhật ký'!$A$2:$A$281,$A18,'Nhật ký'!$P$2:$P$281,1,'Nhật ký'!$Q$2:$Q$281,0)/COUNTIFS('Nhật ký'!$A$2:$A$281,$A18,'Nhật ký'!$Q$2:$Q$281,0),0)</f>
        <v>0</v>
      </c>
      <c r="M18" s="18" t="n">
        <f aca="false">K18-L18</f>
        <v>0</v>
      </c>
      <c r="N18" s="18" t="n">
        <f aca="false">IFERROR(COUNTIFS('Nhật ký'!$A$2:$A$281,$A18,'Nhật ký'!$R$2:$R$281,1)/14,0)</f>
        <v>0</v>
      </c>
      <c r="O18" s="4" t="n">
        <f aca="false">COUNTIFS('Nhật ký'!$A$2:$A$281,$A18,'Nhật ký'!$S$2:$S$281,1)</f>
        <v>0</v>
      </c>
      <c r="P18" s="18" t="n">
        <f aca="false">IFERROR(COUNTIFS('Nhật ký'!$A$2:$A$281,$A18,'Nhật ký'!$P$2:$P$281,1,'Nhật ký'!$S$2:$S$281,1)/O18,0)</f>
        <v>0</v>
      </c>
      <c r="Q18" s="17" t="str">
        <f aca="false">IFERROR(AVERAGEIFS('Nhật ký'!$G$2:$G$281,'Nhật ký'!$A$2:$A$281,$A18,'Nhật ký'!$C$2:$C$281,2),"")</f>
        <v/>
      </c>
      <c r="R18" s="4" t="n">
        <f aca="false">COUNTIFS('Nhật ký'!$A$2:$A$281,$A18,'Nhật ký'!$Q$2:$Q$281,1,'Nhật ký'!$C$2:$C$281,2)</f>
        <v>0</v>
      </c>
      <c r="S18" s="4" t="str">
        <f aca="false">IF(MAX(W18:Z18)=0,"chưa rõ",INDEX(Ngưỡng!$D$3:$G$3,MATCH(MAX(W18:Z18),W18:Z18,0)))</f>
        <v>chưa rõ</v>
      </c>
      <c r="T18" s="2" t="str">
        <f aca="false">IF(B18=0,"",IF(B18&lt;Ngưỡng!$B$8,"Chưa đủ dữ liệu: tổng kết ngủ, thêm 7 ngày",IF(H18&lt;&gt;"Có",IF(AND(ISNUMBER(AA18),AA18&gt;=Ngưỡng!$B$27,ISNUMBER(Q18),Q18&lt;Ngưỡng!$B$19),"Mời Hồi sinh lực","Chưa bám rễ: gia hạn 7 ngày"),IF(AND(O18&gt;=Ngưỡng!$B$26,P18&gt;K18),"Gốc tiêu hóa: ở lại Ngủ 7 ngày, dời bữa tối",IF(AND(C18&gt;=Ngưỡng!$B$9,M18&gt;=Ngưỡng!$B$14,K18&gt;=Ngưỡng!$B$15,OR(N18&gt;=Ngưỡng!$B$16,R18&gt;=Ngưỡng!$B$17)),"Mời Xả áp lực",IF(AND(ISNUMBER(Q18),Q18&lt;Ngưỡng!$B$19),"Mời Hồi sinh lực","Vào Cổng Khỏe"))))))</f>
        <v/>
      </c>
      <c r="U18" s="3" t="str">
        <f aca="false">IF(T18="","",IF(T18="Mời Xả áp lực","14 đêm qua, giấc ngủ của bạn lên từ "&amp;TEXT(D18,"0")&amp;" lên "&amp;TEXT(E18,"0")&amp;" điểm. Nhưng "&amp;J18&amp;" trong "&amp;I18&amp;" đêm vỡ rơi đúng vào ngày bạn chấm căng từ 4, và phần lớn là căng vì "&amp;S18&amp;". Gốc rễ giờ nằm ở ban ngày, mình sang Xả áp lực nhé?",IF(T18="Mời Hồi sinh lực","Giấc ngủ của bạn đã lên "&amp;TEXT(E18,"0")&amp;" điểm, nhưng tuần này bạn vẫn chỉ chấm sáng dậy trung bình "&amp;TEXT(Q18,"0.0")&amp;" trên 5. Ngủ đủ mà vẫn mệt là chuyện của khí. Mình sang Hồi sinh lực nhé?",IF(T18="Vào Cổng Khỏe","Giấc ngủ của bạn đã vững: "&amp;TEXT(E18,"0")&amp;" điểm, "&amp;G18&amp;" đêm đạt ngưỡng tuần này. Cơ thể bạn đã yên. 30 ngày tới mình chỉ chấm điểm sáng, không giao việc nữa.",IF(LEFT(T18,3)="Gốc","Giấc ngủ lên "&amp;TEXT(E18,"0")&amp;" điểm. Nhưng "&amp;O18&amp;" đêm bạn ăn tối sau 20 giờ, và phần lớn đêm vỡ rơi vào những đêm đó. Mình ở lại thêm 7 ngày, chỉ dời bữa tối sớm hơn nhé.",IF(LEFT(T18,4)="Chưa","Giấc ngủ của bạn đang lên từ "&amp;TEXT(D18,"0")&amp;" lên "&amp;TEXT(E18,"0")&amp;" điểm, chưa đủ vững. Mình đi thêm 7 đêm nữa, không vội.",""))))))</f>
        <v/>
      </c>
      <c r="V18" s="3" t="str">
        <f aca="false">IF(B18=0,"",IF(SUMPRODUCT(MAX(('Nhật ký'!$A$2:$A$281=$A18)*('Nhật ký'!$U$2:$U$281)))&gt;=Ngưỡng!$B$21,"Căng mức 5 liên tiếp, hỏi riêng; ","")&amp;IF(COUNTIFS('Nhật ký'!$A$2:$A$281,$A18,'Nhật ký'!$H$2:$H$281,"Lo hồi hộp")&gt;=Ngưỡng!$B$22,"Lo hồi hộp nhiều đêm, gợi ý người thật; ","")&amp;IF(SUMPRODUCT(MAX(('Nhật ký'!$A$2:$A$281=$A18)*('Nhật ký'!$V$2:$V$281)))&gt;=Ngưỡng!$B$23,"Tỉnh đêm kéo dài, gợi ý khám; ","")&amp;IF(SUMPRODUCT(MAX(('Nhật ký'!$A$2:$A$281=$A18)*('Nhật ký'!$W$2:$W$281)))&gt;=Ngưỡng!$B$24,"Thiếu dữ liệu nhiều ngày, hỏi một câu; ",""))</f>
        <v/>
      </c>
      <c r="W18" s="4" t="n">
        <f aca="false">COUNTIFS('Nhật ký'!$A$2:$A$281,$A18,'Nhật ký'!$J$2:$J$281,"Việc",'Nhật ký'!$Q$2:$Q$281,1)</f>
        <v>0</v>
      </c>
      <c r="X18" s="4" t="n">
        <f aca="false">COUNTIFS('Nhật ký'!$A$2:$A$281,$A18,'Nhật ký'!$J$2:$J$281,"Tiền",'Nhật ký'!$Q$2:$Q$281,1)</f>
        <v>0</v>
      </c>
      <c r="Y18" s="4" t="n">
        <f aca="false">COUNTIFS('Nhật ký'!$A$2:$A$281,$A18,'Nhật ký'!$J$2:$J$281,"Người",'Nhật ký'!$Q$2:$Q$281,1)</f>
        <v>0</v>
      </c>
      <c r="Z18" s="4" t="n">
        <f aca="false">COUNTIFS('Nhật ký'!$A$2:$A$281,$A18,'Nhật ký'!$J$2:$J$281,"Không rõ",'Nhật ký'!$Q$2:$Q$281,1)</f>
        <v>0</v>
      </c>
      <c r="AA18" s="17" t="str">
        <f aca="false">IFERROR(AVERAGEIFS('Nhật ký'!$X$2:$X$281,'Nhật ký'!$A$2:$A$281,$A18,'Nhật ký'!$C$2:$C$281,2),"")</f>
        <v/>
      </c>
    </row>
    <row r="19" customFormat="false" ht="15" hidden="false" customHeight="false" outlineLevel="0" collapsed="false">
      <c r="A19" s="0" t="s">
        <v>98</v>
      </c>
      <c r="B19" s="4" t="n">
        <f aca="false">COUNTIFS('Nhật ký'!$A$2:$A$281,$A19,'Nhật ký'!$O$2:$O$281,1)</f>
        <v>0</v>
      </c>
      <c r="C19" s="4" t="n">
        <f aca="false">COUNTIFS('Nhật ký'!$A$2:$A$281,$A19,'Nhật ký'!$Q$2:$Q$281,1)</f>
        <v>0</v>
      </c>
      <c r="D19" s="17" t="str">
        <f aca="false">IFERROR(AVERAGEIFS('Nhật ký'!$N$2:$N$281,'Nhật ký'!$A$2:$A$281,$A19,'Nhật ký'!$C$2:$C$281,1),"")</f>
        <v/>
      </c>
      <c r="E19" s="17" t="str">
        <f aca="false">IFERROR(AVERAGEIFS('Nhật ký'!$N$2:$N$281,'Nhật ký'!$A$2:$A$281,$A19,'Nhật ký'!$C$2:$C$281,2),"")</f>
        <v/>
      </c>
      <c r="F19" s="17" t="str">
        <f aca="false">IF(OR(D19="",E19=""),"",E19-D19)</f>
        <v/>
      </c>
      <c r="G19" s="4" t="n">
        <f aca="false">COUNTIFS('Nhật ký'!$A$2:$A$281,$A19,'Nhật ký'!$T$2:$T$281,1,'Nhật ký'!$C$2:$C$281,2)</f>
        <v>0</v>
      </c>
      <c r="H19" s="4" t="str">
        <f aca="false">IF(F19="","",IF(AND(F19&gt;=Ngưỡng!$B$11,G19&gt;=Ngưỡng!$B$12),"Có","Chưa"))</f>
        <v/>
      </c>
      <c r="I19" s="4" t="n">
        <f aca="false">COUNTIFS('Nhật ký'!$A$2:$A$281,$A19,'Nhật ký'!$P$2:$P$281,1)</f>
        <v>0</v>
      </c>
      <c r="J19" s="4" t="n">
        <f aca="false">COUNTIFS('Nhật ký'!$A$2:$A$281,$A19,'Nhật ký'!$P$2:$P$281,1,'Nhật ký'!$Q$2:$Q$281,1)</f>
        <v>0</v>
      </c>
      <c r="K19" s="18" t="n">
        <f aca="false">IFERROR(J19/C19,0)</f>
        <v>0</v>
      </c>
      <c r="L19" s="18" t="n">
        <f aca="false">IFERROR(COUNTIFS('Nhật ký'!$A$2:$A$281,$A19,'Nhật ký'!$P$2:$P$281,1,'Nhật ký'!$Q$2:$Q$281,0)/COUNTIFS('Nhật ký'!$A$2:$A$281,$A19,'Nhật ký'!$Q$2:$Q$281,0),0)</f>
        <v>0</v>
      </c>
      <c r="M19" s="18" t="n">
        <f aca="false">K19-L19</f>
        <v>0</v>
      </c>
      <c r="N19" s="18" t="n">
        <f aca="false">IFERROR(COUNTIFS('Nhật ký'!$A$2:$A$281,$A19,'Nhật ký'!$R$2:$R$281,1)/14,0)</f>
        <v>0</v>
      </c>
      <c r="O19" s="4" t="n">
        <f aca="false">COUNTIFS('Nhật ký'!$A$2:$A$281,$A19,'Nhật ký'!$S$2:$S$281,1)</f>
        <v>0</v>
      </c>
      <c r="P19" s="18" t="n">
        <f aca="false">IFERROR(COUNTIFS('Nhật ký'!$A$2:$A$281,$A19,'Nhật ký'!$P$2:$P$281,1,'Nhật ký'!$S$2:$S$281,1)/O19,0)</f>
        <v>0</v>
      </c>
      <c r="Q19" s="17" t="str">
        <f aca="false">IFERROR(AVERAGEIFS('Nhật ký'!$G$2:$G$281,'Nhật ký'!$A$2:$A$281,$A19,'Nhật ký'!$C$2:$C$281,2),"")</f>
        <v/>
      </c>
      <c r="R19" s="4" t="n">
        <f aca="false">COUNTIFS('Nhật ký'!$A$2:$A$281,$A19,'Nhật ký'!$Q$2:$Q$281,1,'Nhật ký'!$C$2:$C$281,2)</f>
        <v>0</v>
      </c>
      <c r="S19" s="4" t="str">
        <f aca="false">IF(MAX(W19:Z19)=0,"chưa rõ",INDEX(Ngưỡng!$D$3:$G$3,MATCH(MAX(W19:Z19),W19:Z19,0)))</f>
        <v>chưa rõ</v>
      </c>
      <c r="T19" s="2" t="str">
        <f aca="false">IF(B19=0,"",IF(B19&lt;Ngưỡng!$B$8,"Chưa đủ dữ liệu: tổng kết ngủ, thêm 7 ngày",IF(H19&lt;&gt;"Có",IF(AND(ISNUMBER(AA19),AA19&gt;=Ngưỡng!$B$27,ISNUMBER(Q19),Q19&lt;Ngưỡng!$B$19),"Mời Hồi sinh lực","Chưa bám rễ: gia hạn 7 ngày"),IF(AND(O19&gt;=Ngưỡng!$B$26,P19&gt;K19),"Gốc tiêu hóa: ở lại Ngủ 7 ngày, dời bữa tối",IF(AND(C19&gt;=Ngưỡng!$B$9,M19&gt;=Ngưỡng!$B$14,K19&gt;=Ngưỡng!$B$15,OR(N19&gt;=Ngưỡng!$B$16,R19&gt;=Ngưỡng!$B$17)),"Mời Xả áp lực",IF(AND(ISNUMBER(Q19),Q19&lt;Ngưỡng!$B$19),"Mời Hồi sinh lực","Vào Cổng Khỏe"))))))</f>
        <v/>
      </c>
      <c r="U19" s="3" t="str">
        <f aca="false">IF(T19="","",IF(T19="Mời Xả áp lực","14 đêm qua, giấc ngủ của bạn lên từ "&amp;TEXT(D19,"0")&amp;" lên "&amp;TEXT(E19,"0")&amp;" điểm. Nhưng "&amp;J19&amp;" trong "&amp;I19&amp;" đêm vỡ rơi đúng vào ngày bạn chấm căng từ 4, và phần lớn là căng vì "&amp;S19&amp;". Gốc rễ giờ nằm ở ban ngày, mình sang Xả áp lực nhé?",IF(T19="Mời Hồi sinh lực","Giấc ngủ của bạn đã lên "&amp;TEXT(E19,"0")&amp;" điểm, nhưng tuần này bạn vẫn chỉ chấm sáng dậy trung bình "&amp;TEXT(Q19,"0.0")&amp;" trên 5. Ngủ đủ mà vẫn mệt là chuyện của khí. Mình sang Hồi sinh lực nhé?",IF(T19="Vào Cổng Khỏe","Giấc ngủ của bạn đã vững: "&amp;TEXT(E19,"0")&amp;" điểm, "&amp;G19&amp;" đêm đạt ngưỡng tuần này. Cơ thể bạn đã yên. 30 ngày tới mình chỉ chấm điểm sáng, không giao việc nữa.",IF(LEFT(T19,3)="Gốc","Giấc ngủ lên "&amp;TEXT(E19,"0")&amp;" điểm. Nhưng "&amp;O19&amp;" đêm bạn ăn tối sau 20 giờ, và phần lớn đêm vỡ rơi vào những đêm đó. Mình ở lại thêm 7 ngày, chỉ dời bữa tối sớm hơn nhé.",IF(LEFT(T19,4)="Chưa","Giấc ngủ của bạn đang lên từ "&amp;TEXT(D19,"0")&amp;" lên "&amp;TEXT(E19,"0")&amp;" điểm, chưa đủ vững. Mình đi thêm 7 đêm nữa, không vội.",""))))))</f>
        <v/>
      </c>
      <c r="V19" s="3" t="str">
        <f aca="false">IF(B19=0,"",IF(SUMPRODUCT(MAX(('Nhật ký'!$A$2:$A$281=$A19)*('Nhật ký'!$U$2:$U$281)))&gt;=Ngưỡng!$B$21,"Căng mức 5 liên tiếp, hỏi riêng; ","")&amp;IF(COUNTIFS('Nhật ký'!$A$2:$A$281,$A19,'Nhật ký'!$H$2:$H$281,"Lo hồi hộp")&gt;=Ngưỡng!$B$22,"Lo hồi hộp nhiều đêm, gợi ý người thật; ","")&amp;IF(SUMPRODUCT(MAX(('Nhật ký'!$A$2:$A$281=$A19)*('Nhật ký'!$V$2:$V$281)))&gt;=Ngưỡng!$B$23,"Tỉnh đêm kéo dài, gợi ý khám; ","")&amp;IF(SUMPRODUCT(MAX(('Nhật ký'!$A$2:$A$281=$A19)*('Nhật ký'!$W$2:$W$281)))&gt;=Ngưỡng!$B$24,"Thiếu dữ liệu nhiều ngày, hỏi một câu; ",""))</f>
        <v/>
      </c>
      <c r="W19" s="4" t="n">
        <f aca="false">COUNTIFS('Nhật ký'!$A$2:$A$281,$A19,'Nhật ký'!$J$2:$J$281,"Việc",'Nhật ký'!$Q$2:$Q$281,1)</f>
        <v>0</v>
      </c>
      <c r="X19" s="4" t="n">
        <f aca="false">COUNTIFS('Nhật ký'!$A$2:$A$281,$A19,'Nhật ký'!$J$2:$J$281,"Tiền",'Nhật ký'!$Q$2:$Q$281,1)</f>
        <v>0</v>
      </c>
      <c r="Y19" s="4" t="n">
        <f aca="false">COUNTIFS('Nhật ký'!$A$2:$A$281,$A19,'Nhật ký'!$J$2:$J$281,"Người",'Nhật ký'!$Q$2:$Q$281,1)</f>
        <v>0</v>
      </c>
      <c r="Z19" s="4" t="n">
        <f aca="false">COUNTIFS('Nhật ký'!$A$2:$A$281,$A19,'Nhật ký'!$J$2:$J$281,"Không rõ",'Nhật ký'!$Q$2:$Q$281,1)</f>
        <v>0</v>
      </c>
      <c r="AA19" s="17" t="str">
        <f aca="false">IFERROR(AVERAGEIFS('Nhật ký'!$X$2:$X$281,'Nhật ký'!$A$2:$A$281,$A19,'Nhật ký'!$C$2:$C$281,2),"")</f>
        <v/>
      </c>
    </row>
    <row r="20" customFormat="false" ht="15" hidden="false" customHeight="false" outlineLevel="0" collapsed="false">
      <c r="A20" s="0" t="s">
        <v>99</v>
      </c>
      <c r="B20" s="4" t="n">
        <f aca="false">COUNTIFS('Nhật ký'!$A$2:$A$281,$A20,'Nhật ký'!$O$2:$O$281,1)</f>
        <v>0</v>
      </c>
      <c r="C20" s="4" t="n">
        <f aca="false">COUNTIFS('Nhật ký'!$A$2:$A$281,$A20,'Nhật ký'!$Q$2:$Q$281,1)</f>
        <v>0</v>
      </c>
      <c r="D20" s="17" t="str">
        <f aca="false">IFERROR(AVERAGEIFS('Nhật ký'!$N$2:$N$281,'Nhật ký'!$A$2:$A$281,$A20,'Nhật ký'!$C$2:$C$281,1),"")</f>
        <v/>
      </c>
      <c r="E20" s="17" t="str">
        <f aca="false">IFERROR(AVERAGEIFS('Nhật ký'!$N$2:$N$281,'Nhật ký'!$A$2:$A$281,$A20,'Nhật ký'!$C$2:$C$281,2),"")</f>
        <v/>
      </c>
      <c r="F20" s="17" t="str">
        <f aca="false">IF(OR(D20="",E20=""),"",E20-D20)</f>
        <v/>
      </c>
      <c r="G20" s="4" t="n">
        <f aca="false">COUNTIFS('Nhật ký'!$A$2:$A$281,$A20,'Nhật ký'!$T$2:$T$281,1,'Nhật ký'!$C$2:$C$281,2)</f>
        <v>0</v>
      </c>
      <c r="H20" s="4" t="str">
        <f aca="false">IF(F20="","",IF(AND(F20&gt;=Ngưỡng!$B$11,G20&gt;=Ngưỡng!$B$12),"Có","Chưa"))</f>
        <v/>
      </c>
      <c r="I20" s="4" t="n">
        <f aca="false">COUNTIFS('Nhật ký'!$A$2:$A$281,$A20,'Nhật ký'!$P$2:$P$281,1)</f>
        <v>0</v>
      </c>
      <c r="J20" s="4" t="n">
        <f aca="false">COUNTIFS('Nhật ký'!$A$2:$A$281,$A20,'Nhật ký'!$P$2:$P$281,1,'Nhật ký'!$Q$2:$Q$281,1)</f>
        <v>0</v>
      </c>
      <c r="K20" s="18" t="n">
        <f aca="false">IFERROR(J20/C20,0)</f>
        <v>0</v>
      </c>
      <c r="L20" s="18" t="n">
        <f aca="false">IFERROR(COUNTIFS('Nhật ký'!$A$2:$A$281,$A20,'Nhật ký'!$P$2:$P$281,1,'Nhật ký'!$Q$2:$Q$281,0)/COUNTIFS('Nhật ký'!$A$2:$A$281,$A20,'Nhật ký'!$Q$2:$Q$281,0),0)</f>
        <v>0</v>
      </c>
      <c r="M20" s="18" t="n">
        <f aca="false">K20-L20</f>
        <v>0</v>
      </c>
      <c r="N20" s="18" t="n">
        <f aca="false">IFERROR(COUNTIFS('Nhật ký'!$A$2:$A$281,$A20,'Nhật ký'!$R$2:$R$281,1)/14,0)</f>
        <v>0</v>
      </c>
      <c r="O20" s="4" t="n">
        <f aca="false">COUNTIFS('Nhật ký'!$A$2:$A$281,$A20,'Nhật ký'!$S$2:$S$281,1)</f>
        <v>0</v>
      </c>
      <c r="P20" s="18" t="n">
        <f aca="false">IFERROR(COUNTIFS('Nhật ký'!$A$2:$A$281,$A20,'Nhật ký'!$P$2:$P$281,1,'Nhật ký'!$S$2:$S$281,1)/O20,0)</f>
        <v>0</v>
      </c>
      <c r="Q20" s="17" t="str">
        <f aca="false">IFERROR(AVERAGEIFS('Nhật ký'!$G$2:$G$281,'Nhật ký'!$A$2:$A$281,$A20,'Nhật ký'!$C$2:$C$281,2),"")</f>
        <v/>
      </c>
      <c r="R20" s="4" t="n">
        <f aca="false">COUNTIFS('Nhật ký'!$A$2:$A$281,$A20,'Nhật ký'!$Q$2:$Q$281,1,'Nhật ký'!$C$2:$C$281,2)</f>
        <v>0</v>
      </c>
      <c r="S20" s="4" t="str">
        <f aca="false">IF(MAX(W20:Z20)=0,"chưa rõ",INDEX(Ngưỡng!$D$3:$G$3,MATCH(MAX(W20:Z20),W20:Z20,0)))</f>
        <v>chưa rõ</v>
      </c>
      <c r="T20" s="2" t="str">
        <f aca="false">IF(B20=0,"",IF(B20&lt;Ngưỡng!$B$8,"Chưa đủ dữ liệu: tổng kết ngủ, thêm 7 ngày",IF(H20&lt;&gt;"Có",IF(AND(ISNUMBER(AA20),AA20&gt;=Ngưỡng!$B$27,ISNUMBER(Q20),Q20&lt;Ngưỡng!$B$19),"Mời Hồi sinh lực","Chưa bám rễ: gia hạn 7 ngày"),IF(AND(O20&gt;=Ngưỡng!$B$26,P20&gt;K20),"Gốc tiêu hóa: ở lại Ngủ 7 ngày, dời bữa tối",IF(AND(C20&gt;=Ngưỡng!$B$9,M20&gt;=Ngưỡng!$B$14,K20&gt;=Ngưỡng!$B$15,OR(N20&gt;=Ngưỡng!$B$16,R20&gt;=Ngưỡng!$B$17)),"Mời Xả áp lực",IF(AND(ISNUMBER(Q20),Q20&lt;Ngưỡng!$B$19),"Mời Hồi sinh lực","Vào Cổng Khỏe"))))))</f>
        <v/>
      </c>
      <c r="U20" s="3" t="str">
        <f aca="false">IF(T20="","",IF(T20="Mời Xả áp lực","14 đêm qua, giấc ngủ của bạn lên từ "&amp;TEXT(D20,"0")&amp;" lên "&amp;TEXT(E20,"0")&amp;" điểm. Nhưng "&amp;J20&amp;" trong "&amp;I20&amp;" đêm vỡ rơi đúng vào ngày bạn chấm căng từ 4, và phần lớn là căng vì "&amp;S20&amp;". Gốc rễ giờ nằm ở ban ngày, mình sang Xả áp lực nhé?",IF(T20="Mời Hồi sinh lực","Giấc ngủ của bạn đã lên "&amp;TEXT(E20,"0")&amp;" điểm, nhưng tuần này bạn vẫn chỉ chấm sáng dậy trung bình "&amp;TEXT(Q20,"0.0")&amp;" trên 5. Ngủ đủ mà vẫn mệt là chuyện của khí. Mình sang Hồi sinh lực nhé?",IF(T20="Vào Cổng Khỏe","Giấc ngủ của bạn đã vững: "&amp;TEXT(E20,"0")&amp;" điểm, "&amp;G20&amp;" đêm đạt ngưỡng tuần này. Cơ thể bạn đã yên. 30 ngày tới mình chỉ chấm điểm sáng, không giao việc nữa.",IF(LEFT(T20,3)="Gốc","Giấc ngủ lên "&amp;TEXT(E20,"0")&amp;" điểm. Nhưng "&amp;O20&amp;" đêm bạn ăn tối sau 20 giờ, và phần lớn đêm vỡ rơi vào những đêm đó. Mình ở lại thêm 7 ngày, chỉ dời bữa tối sớm hơn nhé.",IF(LEFT(T20,4)="Chưa","Giấc ngủ của bạn đang lên từ "&amp;TEXT(D20,"0")&amp;" lên "&amp;TEXT(E20,"0")&amp;" điểm, chưa đủ vững. Mình đi thêm 7 đêm nữa, không vội.",""))))))</f>
        <v/>
      </c>
      <c r="V20" s="3" t="str">
        <f aca="false">IF(B20=0,"",IF(SUMPRODUCT(MAX(('Nhật ký'!$A$2:$A$281=$A20)*('Nhật ký'!$U$2:$U$281)))&gt;=Ngưỡng!$B$21,"Căng mức 5 liên tiếp, hỏi riêng; ","")&amp;IF(COUNTIFS('Nhật ký'!$A$2:$A$281,$A20,'Nhật ký'!$H$2:$H$281,"Lo hồi hộp")&gt;=Ngưỡng!$B$22,"Lo hồi hộp nhiều đêm, gợi ý người thật; ","")&amp;IF(SUMPRODUCT(MAX(('Nhật ký'!$A$2:$A$281=$A20)*('Nhật ký'!$V$2:$V$281)))&gt;=Ngưỡng!$B$23,"Tỉnh đêm kéo dài, gợi ý khám; ","")&amp;IF(SUMPRODUCT(MAX(('Nhật ký'!$A$2:$A$281=$A20)*('Nhật ký'!$W$2:$W$281)))&gt;=Ngưỡng!$B$24,"Thiếu dữ liệu nhiều ngày, hỏi một câu; ",""))</f>
        <v/>
      </c>
      <c r="W20" s="4" t="n">
        <f aca="false">COUNTIFS('Nhật ký'!$A$2:$A$281,$A20,'Nhật ký'!$J$2:$J$281,"Việc",'Nhật ký'!$Q$2:$Q$281,1)</f>
        <v>0</v>
      </c>
      <c r="X20" s="4" t="n">
        <f aca="false">COUNTIFS('Nhật ký'!$A$2:$A$281,$A20,'Nhật ký'!$J$2:$J$281,"Tiền",'Nhật ký'!$Q$2:$Q$281,1)</f>
        <v>0</v>
      </c>
      <c r="Y20" s="4" t="n">
        <f aca="false">COUNTIFS('Nhật ký'!$A$2:$A$281,$A20,'Nhật ký'!$J$2:$J$281,"Người",'Nhật ký'!$Q$2:$Q$281,1)</f>
        <v>0</v>
      </c>
      <c r="Z20" s="4" t="n">
        <f aca="false">COUNTIFS('Nhật ký'!$A$2:$A$281,$A20,'Nhật ký'!$J$2:$J$281,"Không rõ",'Nhật ký'!$Q$2:$Q$281,1)</f>
        <v>0</v>
      </c>
      <c r="AA20" s="17" t="str">
        <f aca="false">IFERROR(AVERAGEIFS('Nhật ký'!$X$2:$X$281,'Nhật ký'!$A$2:$A$281,$A20,'Nhật ký'!$C$2:$C$281,2),"")</f>
        <v/>
      </c>
    </row>
    <row r="21" customFormat="false" ht="15" hidden="false" customHeight="false" outlineLevel="0" collapsed="false">
      <c r="A21" s="0" t="s">
        <v>100</v>
      </c>
      <c r="B21" s="4" t="n">
        <f aca="false">COUNTIFS('Nhật ký'!$A$2:$A$281,$A21,'Nhật ký'!$O$2:$O$281,1)</f>
        <v>0</v>
      </c>
      <c r="C21" s="4" t="n">
        <f aca="false">COUNTIFS('Nhật ký'!$A$2:$A$281,$A21,'Nhật ký'!$Q$2:$Q$281,1)</f>
        <v>0</v>
      </c>
      <c r="D21" s="17" t="str">
        <f aca="false">IFERROR(AVERAGEIFS('Nhật ký'!$N$2:$N$281,'Nhật ký'!$A$2:$A$281,$A21,'Nhật ký'!$C$2:$C$281,1),"")</f>
        <v/>
      </c>
      <c r="E21" s="17" t="str">
        <f aca="false">IFERROR(AVERAGEIFS('Nhật ký'!$N$2:$N$281,'Nhật ký'!$A$2:$A$281,$A21,'Nhật ký'!$C$2:$C$281,2),"")</f>
        <v/>
      </c>
      <c r="F21" s="17" t="str">
        <f aca="false">IF(OR(D21="",E21=""),"",E21-D21)</f>
        <v/>
      </c>
      <c r="G21" s="4" t="n">
        <f aca="false">COUNTIFS('Nhật ký'!$A$2:$A$281,$A21,'Nhật ký'!$T$2:$T$281,1,'Nhật ký'!$C$2:$C$281,2)</f>
        <v>0</v>
      </c>
      <c r="H21" s="4" t="str">
        <f aca="false">IF(F21="","",IF(AND(F21&gt;=Ngưỡng!$B$11,G21&gt;=Ngưỡng!$B$12),"Có","Chưa"))</f>
        <v/>
      </c>
      <c r="I21" s="4" t="n">
        <f aca="false">COUNTIFS('Nhật ký'!$A$2:$A$281,$A21,'Nhật ký'!$P$2:$P$281,1)</f>
        <v>0</v>
      </c>
      <c r="J21" s="4" t="n">
        <f aca="false">COUNTIFS('Nhật ký'!$A$2:$A$281,$A21,'Nhật ký'!$P$2:$P$281,1,'Nhật ký'!$Q$2:$Q$281,1)</f>
        <v>0</v>
      </c>
      <c r="K21" s="18" t="n">
        <f aca="false">IFERROR(J21/C21,0)</f>
        <v>0</v>
      </c>
      <c r="L21" s="18" t="n">
        <f aca="false">IFERROR(COUNTIFS('Nhật ký'!$A$2:$A$281,$A21,'Nhật ký'!$P$2:$P$281,1,'Nhật ký'!$Q$2:$Q$281,0)/COUNTIFS('Nhật ký'!$A$2:$A$281,$A21,'Nhật ký'!$Q$2:$Q$281,0),0)</f>
        <v>0</v>
      </c>
      <c r="M21" s="18" t="n">
        <f aca="false">K21-L21</f>
        <v>0</v>
      </c>
      <c r="N21" s="18" t="n">
        <f aca="false">IFERROR(COUNTIFS('Nhật ký'!$A$2:$A$281,$A21,'Nhật ký'!$R$2:$R$281,1)/14,0)</f>
        <v>0</v>
      </c>
      <c r="O21" s="4" t="n">
        <f aca="false">COUNTIFS('Nhật ký'!$A$2:$A$281,$A21,'Nhật ký'!$S$2:$S$281,1)</f>
        <v>0</v>
      </c>
      <c r="P21" s="18" t="n">
        <f aca="false">IFERROR(COUNTIFS('Nhật ký'!$A$2:$A$281,$A21,'Nhật ký'!$P$2:$P$281,1,'Nhật ký'!$S$2:$S$281,1)/O21,0)</f>
        <v>0</v>
      </c>
      <c r="Q21" s="17" t="str">
        <f aca="false">IFERROR(AVERAGEIFS('Nhật ký'!$G$2:$G$281,'Nhật ký'!$A$2:$A$281,$A21,'Nhật ký'!$C$2:$C$281,2),"")</f>
        <v/>
      </c>
      <c r="R21" s="4" t="n">
        <f aca="false">COUNTIFS('Nhật ký'!$A$2:$A$281,$A21,'Nhật ký'!$Q$2:$Q$281,1,'Nhật ký'!$C$2:$C$281,2)</f>
        <v>0</v>
      </c>
      <c r="S21" s="4" t="str">
        <f aca="false">IF(MAX(W21:Z21)=0,"chưa rõ",INDEX(Ngưỡng!$D$3:$G$3,MATCH(MAX(W21:Z21),W21:Z21,0)))</f>
        <v>chưa rõ</v>
      </c>
      <c r="T21" s="2" t="str">
        <f aca="false">IF(B21=0,"",IF(B21&lt;Ngưỡng!$B$8,"Chưa đủ dữ liệu: tổng kết ngủ, thêm 7 ngày",IF(H21&lt;&gt;"Có",IF(AND(ISNUMBER(AA21),AA21&gt;=Ngưỡng!$B$27,ISNUMBER(Q21),Q21&lt;Ngưỡng!$B$19),"Mời Hồi sinh lực","Chưa bám rễ: gia hạn 7 ngày"),IF(AND(O21&gt;=Ngưỡng!$B$26,P21&gt;K21),"Gốc tiêu hóa: ở lại Ngủ 7 ngày, dời bữa tối",IF(AND(C21&gt;=Ngưỡng!$B$9,M21&gt;=Ngưỡng!$B$14,K21&gt;=Ngưỡng!$B$15,OR(N21&gt;=Ngưỡng!$B$16,R21&gt;=Ngưỡng!$B$17)),"Mời Xả áp lực",IF(AND(ISNUMBER(Q21),Q21&lt;Ngưỡng!$B$19),"Mời Hồi sinh lực","Vào Cổng Khỏe"))))))</f>
        <v/>
      </c>
      <c r="U21" s="3" t="str">
        <f aca="false">IF(T21="","",IF(T21="Mời Xả áp lực","14 đêm qua, giấc ngủ của bạn lên từ "&amp;TEXT(D21,"0")&amp;" lên "&amp;TEXT(E21,"0")&amp;" điểm. Nhưng "&amp;J21&amp;" trong "&amp;I21&amp;" đêm vỡ rơi đúng vào ngày bạn chấm căng từ 4, và phần lớn là căng vì "&amp;S21&amp;". Gốc rễ giờ nằm ở ban ngày, mình sang Xả áp lực nhé?",IF(T21="Mời Hồi sinh lực","Giấc ngủ của bạn đã lên "&amp;TEXT(E21,"0")&amp;" điểm, nhưng tuần này bạn vẫn chỉ chấm sáng dậy trung bình "&amp;TEXT(Q21,"0.0")&amp;" trên 5. Ngủ đủ mà vẫn mệt là chuyện của khí. Mình sang Hồi sinh lực nhé?",IF(T21="Vào Cổng Khỏe","Giấc ngủ của bạn đã vững: "&amp;TEXT(E21,"0")&amp;" điểm, "&amp;G21&amp;" đêm đạt ngưỡng tuần này. Cơ thể bạn đã yên. 30 ngày tới mình chỉ chấm điểm sáng, không giao việc nữa.",IF(LEFT(T21,3)="Gốc","Giấc ngủ lên "&amp;TEXT(E21,"0")&amp;" điểm. Nhưng "&amp;O21&amp;" đêm bạn ăn tối sau 20 giờ, và phần lớn đêm vỡ rơi vào những đêm đó. Mình ở lại thêm 7 ngày, chỉ dời bữa tối sớm hơn nhé.",IF(LEFT(T21,4)="Chưa","Giấc ngủ của bạn đang lên từ "&amp;TEXT(D21,"0")&amp;" lên "&amp;TEXT(E21,"0")&amp;" điểm, chưa đủ vững. Mình đi thêm 7 đêm nữa, không vội.",""))))))</f>
        <v/>
      </c>
      <c r="V21" s="3" t="str">
        <f aca="false">IF(B21=0,"",IF(SUMPRODUCT(MAX(('Nhật ký'!$A$2:$A$281=$A21)*('Nhật ký'!$U$2:$U$281)))&gt;=Ngưỡng!$B$21,"Căng mức 5 liên tiếp, hỏi riêng; ","")&amp;IF(COUNTIFS('Nhật ký'!$A$2:$A$281,$A21,'Nhật ký'!$H$2:$H$281,"Lo hồi hộp")&gt;=Ngưỡng!$B$22,"Lo hồi hộp nhiều đêm, gợi ý người thật; ","")&amp;IF(SUMPRODUCT(MAX(('Nhật ký'!$A$2:$A$281=$A21)*('Nhật ký'!$V$2:$V$281)))&gt;=Ngưỡng!$B$23,"Tỉnh đêm kéo dài, gợi ý khám; ","")&amp;IF(SUMPRODUCT(MAX(('Nhật ký'!$A$2:$A$281=$A21)*('Nhật ký'!$W$2:$W$281)))&gt;=Ngưỡng!$B$24,"Thiếu dữ liệu nhiều ngày, hỏi một câu; ",""))</f>
        <v/>
      </c>
      <c r="W21" s="4" t="n">
        <f aca="false">COUNTIFS('Nhật ký'!$A$2:$A$281,$A21,'Nhật ký'!$J$2:$J$281,"Việc",'Nhật ký'!$Q$2:$Q$281,1)</f>
        <v>0</v>
      </c>
      <c r="X21" s="4" t="n">
        <f aca="false">COUNTIFS('Nhật ký'!$A$2:$A$281,$A21,'Nhật ký'!$J$2:$J$281,"Tiền",'Nhật ký'!$Q$2:$Q$281,1)</f>
        <v>0</v>
      </c>
      <c r="Y21" s="4" t="n">
        <f aca="false">COUNTIFS('Nhật ký'!$A$2:$A$281,$A21,'Nhật ký'!$J$2:$J$281,"Người",'Nhật ký'!$Q$2:$Q$281,1)</f>
        <v>0</v>
      </c>
      <c r="Z21" s="4" t="n">
        <f aca="false">COUNTIFS('Nhật ký'!$A$2:$A$281,$A21,'Nhật ký'!$J$2:$J$281,"Không rõ",'Nhật ký'!$Q$2:$Q$281,1)</f>
        <v>0</v>
      </c>
      <c r="AA21" s="17" t="str">
        <f aca="false">IFERROR(AVERAGEIFS('Nhật ký'!$X$2:$X$281,'Nhật ký'!$A$2:$A$281,$A21,'Nhật ký'!$C$2:$C$281,2),"")</f>
        <v/>
      </c>
    </row>
    <row r="23" customFormat="false" ht="15" hidden="false" customHeight="false" outlineLevel="0" collapsed="false">
      <c r="A23" s="9" t="s">
        <v>127</v>
      </c>
    </row>
  </sheetData>
  <conditionalFormatting sqref="T2:T21">
    <cfRule type="expression" priority="2" aboveAverage="0" equalAverage="0" bottom="0" percent="0" rank="0" text="" dxfId="2">
      <formula>LEFT(T2,8)="Mời Xả á"</formula>
    </cfRule>
    <cfRule type="expression" priority="3" aboveAverage="0" equalAverage="0" bottom="0" percent="0" rank="0" text="" dxfId="1">
      <formula>LEFT(T2,8)="Mời Hồi "</formula>
    </cfRule>
  </conditionalFormatting>
  <conditionalFormatting sqref="H2:H21">
    <cfRule type="cellIs" priority="4" operator="equal" aboveAverage="0" equalAverage="0" bottom="0" percent="0" rank="0" text="" dxfId="1">
      <formula>"Có"</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5" min="2" style="0" width="9"/>
  </cols>
  <sheetData>
    <row r="1" customFormat="false" ht="17.35" hidden="false" customHeight="false" outlineLevel="0" collapsed="false">
      <c r="A1" s="1" t="s">
        <v>128</v>
      </c>
    </row>
    <row r="2" customFormat="false" ht="15" hidden="false" customHeight="false" outlineLevel="0" collapsed="false">
      <c r="A2" s="2" t="s">
        <v>129</v>
      </c>
      <c r="B2" s="5" t="s">
        <v>81</v>
      </c>
    </row>
    <row r="4" customFormat="false" ht="15" hidden="false" customHeight="false" outlineLevel="0" collapsed="false">
      <c r="A4" s="2" t="s">
        <v>59</v>
      </c>
      <c r="B4" s="19" t="n">
        <v>1</v>
      </c>
      <c r="C4" s="19" t="n">
        <v>2</v>
      </c>
      <c r="D4" s="19" t="n">
        <v>3</v>
      </c>
      <c r="E4" s="19" t="n">
        <v>4</v>
      </c>
      <c r="F4" s="19" t="n">
        <v>5</v>
      </c>
      <c r="G4" s="19" t="n">
        <v>6</v>
      </c>
      <c r="H4" s="19" t="n">
        <v>7</v>
      </c>
      <c r="I4" s="19" t="n">
        <v>8</v>
      </c>
      <c r="J4" s="19" t="n">
        <v>9</v>
      </c>
      <c r="K4" s="19" t="n">
        <v>10</v>
      </c>
      <c r="L4" s="19" t="n">
        <v>11</v>
      </c>
      <c r="M4" s="19" t="n">
        <v>12</v>
      </c>
      <c r="N4" s="19" t="n">
        <v>13</v>
      </c>
      <c r="O4" s="19" t="n">
        <v>14</v>
      </c>
    </row>
    <row r="5" customFormat="false" ht="15" hidden="false" customHeight="false" outlineLevel="0" collapsed="false">
      <c r="A5" s="2" t="s">
        <v>11</v>
      </c>
      <c r="B5" s="20" t="n">
        <f aca="false">IFERROR(INDEX('Nhật ký'!$N$2:$N$281,MATCH($B$2,'Nhật ký'!$A$2:$A$281,0)+B$4-1),"")</f>
        <v>30</v>
      </c>
      <c r="C5" s="20" t="n">
        <f aca="false">IFERROR(INDEX('Nhật ký'!$N$2:$N$281,MATCH($B$2,'Nhật ký'!$A$2:$A$281,0)+C$4-1),"")</f>
        <v>50</v>
      </c>
      <c r="D5" s="20" t="n">
        <f aca="false">IFERROR(INDEX('Nhật ký'!$N$2:$N$281,MATCH($B$2,'Nhật ký'!$A$2:$A$281,0)+D$4-1),"")</f>
        <v>20</v>
      </c>
      <c r="E5" s="20" t="n">
        <f aca="false">IFERROR(INDEX('Nhật ký'!$N$2:$N$281,MATCH($B$2,'Nhật ký'!$A$2:$A$281,0)+E$4-1),"")</f>
        <v>60</v>
      </c>
      <c r="F5" s="20" t="n">
        <f aca="false">IFERROR(INDEX('Nhật ký'!$N$2:$N$281,MATCH($B$2,'Nhật ký'!$A$2:$A$281,0)+F$4-1),"")</f>
        <v>30</v>
      </c>
      <c r="G5" s="20" t="n">
        <f aca="false">IFERROR(INDEX('Nhật ký'!$N$2:$N$281,MATCH($B$2,'Nhật ký'!$A$2:$A$281,0)+G$4-1),"")</f>
        <v>70</v>
      </c>
      <c r="H5" s="20" t="n">
        <f aca="false">IFERROR(INDEX('Nhật ký'!$N$2:$N$281,MATCH($B$2,'Nhật ký'!$A$2:$A$281,0)+H$4-1),"")</f>
        <v>80</v>
      </c>
      <c r="I5" s="20" t="n">
        <f aca="false">IFERROR(INDEX('Nhật ký'!$N$2:$N$281,MATCH($B$2,'Nhật ký'!$A$2:$A$281,0)+I$4-1),"")</f>
        <v>50</v>
      </c>
      <c r="J5" s="20" t="n">
        <f aca="false">IFERROR(INDEX('Nhật ký'!$N$2:$N$281,MATCH($B$2,'Nhật ký'!$A$2:$A$281,0)+J$4-1),"")</f>
        <v>80</v>
      </c>
      <c r="K5" s="20" t="n">
        <f aca="false">IFERROR(INDEX('Nhật ký'!$N$2:$N$281,MATCH($B$2,'Nhật ký'!$A$2:$A$281,0)+K$4-1),"")</f>
        <v>90</v>
      </c>
      <c r="L5" s="20" t="n">
        <f aca="false">IFERROR(INDEX('Nhật ký'!$N$2:$N$281,MATCH($B$2,'Nhật ký'!$A$2:$A$281,0)+L$4-1),"")</f>
        <v>20</v>
      </c>
      <c r="M5" s="20" t="n">
        <f aca="false">IFERROR(INDEX('Nhật ký'!$N$2:$N$281,MATCH($B$2,'Nhật ký'!$A$2:$A$281,0)+M$4-1),"")</f>
        <v>80</v>
      </c>
      <c r="N5" s="20" t="n">
        <f aca="false">IFERROR(INDEX('Nhật ký'!$N$2:$N$281,MATCH($B$2,'Nhật ký'!$A$2:$A$281,0)+N$4-1),"")</f>
        <v>90</v>
      </c>
      <c r="O5" s="20" t="n">
        <f aca="false">IFERROR(INDEX('Nhật ký'!$N$2:$N$281,MATCH($B$2,'Nhật ký'!$A$2:$A$281,0)+O$4-1),"")</f>
        <v>60</v>
      </c>
    </row>
    <row r="6" customFormat="false" ht="15" hidden="false" customHeight="false" outlineLevel="0" collapsed="false">
      <c r="A6" s="2" t="s">
        <v>130</v>
      </c>
      <c r="B6" s="20" t="n">
        <f aca="false">IFERROR(INDEX('Nhật ký'!$P$2:$P$281,MATCH($B$2,'Nhật ký'!$A$2:$A$281,0)+B$4-1),"")</f>
        <v>1</v>
      </c>
      <c r="C6" s="20" t="n">
        <f aca="false">IFERROR(INDEX('Nhật ký'!$P$2:$P$281,MATCH($B$2,'Nhật ký'!$A$2:$A$281,0)+C$4-1),"")</f>
        <v>1</v>
      </c>
      <c r="D6" s="20" t="n">
        <f aca="false">IFERROR(INDEX('Nhật ký'!$P$2:$P$281,MATCH($B$2,'Nhật ký'!$A$2:$A$281,0)+D$4-1),"")</f>
        <v>1</v>
      </c>
      <c r="E6" s="20" t="n">
        <f aca="false">IFERROR(INDEX('Nhật ký'!$P$2:$P$281,MATCH($B$2,'Nhật ký'!$A$2:$A$281,0)+E$4-1),"")</f>
        <v>0</v>
      </c>
      <c r="F6" s="20" t="n">
        <f aca="false">IFERROR(INDEX('Nhật ký'!$P$2:$P$281,MATCH($B$2,'Nhật ký'!$A$2:$A$281,0)+F$4-1),"")</f>
        <v>1</v>
      </c>
      <c r="G6" s="20" t="n">
        <f aca="false">IFERROR(INDEX('Nhật ký'!$P$2:$P$281,MATCH($B$2,'Nhật ký'!$A$2:$A$281,0)+G$4-1),"")</f>
        <v>0</v>
      </c>
      <c r="H6" s="20" t="n">
        <f aca="false">IFERROR(INDEX('Nhật ký'!$P$2:$P$281,MATCH($B$2,'Nhật ký'!$A$2:$A$281,0)+H$4-1),"")</f>
        <v>0</v>
      </c>
      <c r="I6" s="20" t="n">
        <f aca="false">IFERROR(INDEX('Nhật ký'!$P$2:$P$281,MATCH($B$2,'Nhật ký'!$A$2:$A$281,0)+I$4-1),"")</f>
        <v>1</v>
      </c>
      <c r="J6" s="20" t="n">
        <f aca="false">IFERROR(INDEX('Nhật ký'!$P$2:$P$281,MATCH($B$2,'Nhật ký'!$A$2:$A$281,0)+J$4-1),"")</f>
        <v>0</v>
      </c>
      <c r="K6" s="20" t="n">
        <f aca="false">IFERROR(INDEX('Nhật ký'!$P$2:$P$281,MATCH($B$2,'Nhật ký'!$A$2:$A$281,0)+K$4-1),"")</f>
        <v>0</v>
      </c>
      <c r="L6" s="20" t="n">
        <f aca="false">IFERROR(INDEX('Nhật ký'!$P$2:$P$281,MATCH($B$2,'Nhật ký'!$A$2:$A$281,0)+L$4-1),"")</f>
        <v>1</v>
      </c>
      <c r="M6" s="20" t="n">
        <f aca="false">IFERROR(INDEX('Nhật ký'!$P$2:$P$281,MATCH($B$2,'Nhật ký'!$A$2:$A$281,0)+M$4-1),"")</f>
        <v>0</v>
      </c>
      <c r="N6" s="20" t="n">
        <f aca="false">IFERROR(INDEX('Nhật ký'!$P$2:$P$281,MATCH($B$2,'Nhật ký'!$A$2:$A$281,0)+N$4-1),"")</f>
        <v>0</v>
      </c>
      <c r="O6" s="20" t="n">
        <f aca="false">IFERROR(INDEX('Nhật ký'!$P$2:$P$281,MATCH($B$2,'Nhật ký'!$A$2:$A$281,0)+O$4-1),"")</f>
        <v>0</v>
      </c>
    </row>
    <row r="7" customFormat="false" ht="15" hidden="false" customHeight="false" outlineLevel="0" collapsed="false">
      <c r="A7" s="2" t="s">
        <v>131</v>
      </c>
      <c r="B7" s="20" t="n">
        <f aca="false">IFERROR(INDEX('Nhật ký'!$I$2:$I$281,MATCH($B$2,'Nhật ký'!$A$2:$A$281,0)+B$4-1),"")</f>
        <v>4</v>
      </c>
      <c r="C7" s="20" t="n">
        <f aca="false">IFERROR(INDEX('Nhật ký'!$I$2:$I$281,MATCH($B$2,'Nhật ký'!$A$2:$A$281,0)+C$4-1),"")</f>
        <v>2</v>
      </c>
      <c r="D7" s="20" t="n">
        <f aca="false">IFERROR(INDEX('Nhật ký'!$I$2:$I$281,MATCH($B$2,'Nhật ký'!$A$2:$A$281,0)+D$4-1),"")</f>
        <v>5</v>
      </c>
      <c r="E7" s="20" t="n">
        <f aca="false">IFERROR(INDEX('Nhật ký'!$I$2:$I$281,MATCH($B$2,'Nhật ký'!$A$2:$A$281,0)+E$4-1),"")</f>
        <v>3</v>
      </c>
      <c r="F7" s="20" t="n">
        <f aca="false">IFERROR(INDEX('Nhật ký'!$I$2:$I$281,MATCH($B$2,'Nhật ký'!$A$2:$A$281,0)+F$4-1),"")</f>
        <v>4</v>
      </c>
      <c r="G7" s="20" t="n">
        <f aca="false">IFERROR(INDEX('Nhật ký'!$I$2:$I$281,MATCH($B$2,'Nhật ký'!$A$2:$A$281,0)+G$4-1),"")</f>
        <v>2</v>
      </c>
      <c r="H7" s="20" t="n">
        <f aca="false">IFERROR(INDEX('Nhật ký'!$I$2:$I$281,MATCH($B$2,'Nhật ký'!$A$2:$A$281,0)+H$4-1),"")</f>
        <v>2</v>
      </c>
      <c r="I7" s="20" t="n">
        <f aca="false">IFERROR(INDEX('Nhật ký'!$I$2:$I$281,MATCH($B$2,'Nhật ký'!$A$2:$A$281,0)+I$4-1),"")</f>
        <v>4</v>
      </c>
      <c r="J7" s="20" t="n">
        <f aca="false">IFERROR(INDEX('Nhật ký'!$I$2:$I$281,MATCH($B$2,'Nhật ký'!$A$2:$A$281,0)+J$4-1),"")</f>
        <v>3</v>
      </c>
      <c r="K7" s="20" t="n">
        <f aca="false">IFERROR(INDEX('Nhật ký'!$I$2:$I$281,MATCH($B$2,'Nhật ký'!$A$2:$A$281,0)+K$4-1),"")</f>
        <v>2</v>
      </c>
      <c r="L7" s="20" t="n">
        <f aca="false">IFERROR(INDEX('Nhật ký'!$I$2:$I$281,MATCH($B$2,'Nhật ký'!$A$2:$A$281,0)+L$4-1),"")</f>
        <v>5</v>
      </c>
      <c r="M7" s="20" t="n">
        <f aca="false">IFERROR(INDEX('Nhật ký'!$I$2:$I$281,MATCH($B$2,'Nhật ký'!$A$2:$A$281,0)+M$4-1),"")</f>
        <v>2</v>
      </c>
      <c r="N7" s="20" t="n">
        <f aca="false">IFERROR(INDEX('Nhật ký'!$I$2:$I$281,MATCH($B$2,'Nhật ký'!$A$2:$A$281,0)+N$4-1),"")</f>
        <v>3</v>
      </c>
      <c r="O7" s="20" t="n">
        <f aca="false">IFERROR(INDEX('Nhật ký'!$I$2:$I$281,MATCH($B$2,'Nhật ký'!$A$2:$A$281,0)+O$4-1),"")</f>
        <v>4</v>
      </c>
    </row>
    <row r="8" customFormat="false" ht="15" hidden="false" customHeight="false" outlineLevel="0" collapsed="false">
      <c r="A8" s="2" t="s">
        <v>132</v>
      </c>
      <c r="B8" s="21" t="str">
        <f aca="false">IFERROR(INDEX('Nhật ký'!$H$2:$H$281,MATCH($B$2,'Nhật ký'!$A$2:$A$281,0)+B$4-1),"")</f>
        <v>Nghĩ nhiều</v>
      </c>
      <c r="C8" s="21" t="str">
        <f aca="false">IFERROR(INDEX('Nhật ký'!$H$2:$H$281,MATCH($B$2,'Nhật ký'!$A$2:$A$281,0)+C$4-1),"")</f>
        <v>Yên</v>
      </c>
      <c r="D8" s="21" t="str">
        <f aca="false">IFERROR(INDEX('Nhật ký'!$H$2:$H$281,MATCH($B$2,'Nhật ký'!$A$2:$A$281,0)+D$4-1),"")</f>
        <v>Bực</v>
      </c>
      <c r="E8" s="21" t="str">
        <f aca="false">IFERROR(INDEX('Nhật ký'!$H$2:$H$281,MATCH($B$2,'Nhật ký'!$A$2:$A$281,0)+E$4-1),"")</f>
        <v>Yên</v>
      </c>
      <c r="F8" s="21" t="str">
        <f aca="false">IFERROR(INDEX('Nhật ký'!$H$2:$H$281,MATCH($B$2,'Nhật ký'!$A$2:$A$281,0)+F$4-1),"")</f>
        <v>Nghĩ nhiều</v>
      </c>
      <c r="G8" s="21" t="str">
        <f aca="false">IFERROR(INDEX('Nhật ký'!$H$2:$H$281,MATCH($B$2,'Nhật ký'!$A$2:$A$281,0)+G$4-1),"")</f>
        <v>Yên</v>
      </c>
      <c r="H8" s="21" t="str">
        <f aca="false">IFERROR(INDEX('Nhật ký'!$H$2:$H$281,MATCH($B$2,'Nhật ký'!$A$2:$A$281,0)+H$4-1),"")</f>
        <v>Yên</v>
      </c>
      <c r="I8" s="21" t="str">
        <f aca="false">IFERROR(INDEX('Nhật ký'!$H$2:$H$281,MATCH($B$2,'Nhật ký'!$A$2:$A$281,0)+I$4-1),"")</f>
        <v>Nghĩ nhiều</v>
      </c>
      <c r="J8" s="21" t="str">
        <f aca="false">IFERROR(INDEX('Nhật ký'!$H$2:$H$281,MATCH($B$2,'Nhật ký'!$A$2:$A$281,0)+J$4-1),"")</f>
        <v>Yên</v>
      </c>
      <c r="K8" s="21" t="str">
        <f aca="false">IFERROR(INDEX('Nhật ký'!$H$2:$H$281,MATCH($B$2,'Nhật ký'!$A$2:$A$281,0)+K$4-1),"")</f>
        <v>Yên</v>
      </c>
      <c r="L8" s="21" t="str">
        <f aca="false">IFERROR(INDEX('Nhật ký'!$H$2:$H$281,MATCH($B$2,'Nhật ký'!$A$2:$A$281,0)+L$4-1),"")</f>
        <v>Bực</v>
      </c>
      <c r="M8" s="21" t="str">
        <f aca="false">IFERROR(INDEX('Nhật ký'!$H$2:$H$281,MATCH($B$2,'Nhật ký'!$A$2:$A$281,0)+M$4-1),"")</f>
        <v>Yên</v>
      </c>
      <c r="N8" s="21" t="str">
        <f aca="false">IFERROR(INDEX('Nhật ký'!$H$2:$H$281,MATCH($B$2,'Nhật ký'!$A$2:$A$281,0)+N$4-1),"")</f>
        <v>Yên</v>
      </c>
      <c r="O8" s="21" t="str">
        <f aca="false">IFERROR(INDEX('Nhật ký'!$H$2:$H$281,MATCH($B$2,'Nhật ký'!$A$2:$A$281,0)+O$4-1),"")</f>
        <v>Nghĩ nhiều</v>
      </c>
    </row>
    <row r="9" customFormat="false" ht="15" hidden="false" customHeight="false" outlineLevel="0" collapsed="false">
      <c r="A9" s="2" t="s">
        <v>133</v>
      </c>
      <c r="B9" s="22" t="n">
        <f aca="false">IFERROR(INDEX('Nhật ký'!$K$2:$K$281,MATCH($B$2,'Nhật ký'!$A$2:$A$281,0)+B$4-1),"")</f>
        <v>0.854166666666667</v>
      </c>
      <c r="C9" s="22" t="n">
        <f aca="false">IFERROR(INDEX('Nhật ký'!$K$2:$K$281,MATCH($B$2,'Nhật ký'!$A$2:$A$281,0)+C$4-1),"")</f>
        <v>0.8125</v>
      </c>
      <c r="D9" s="22" t="n">
        <f aca="false">IFERROR(INDEX('Nhật ký'!$K$2:$K$281,MATCH($B$2,'Nhật ký'!$A$2:$A$281,0)+D$4-1),"")</f>
        <v>0.875</v>
      </c>
      <c r="E9" s="22" t="n">
        <f aca="false">IFERROR(INDEX('Nhật ký'!$K$2:$K$281,MATCH($B$2,'Nhật ký'!$A$2:$A$281,0)+E$4-1),"")</f>
        <v>0.822916666666667</v>
      </c>
      <c r="F9" s="22" t="n">
        <f aca="false">IFERROR(INDEX('Nhật ký'!$K$2:$K$281,MATCH($B$2,'Nhật ký'!$A$2:$A$281,0)+F$4-1),"")</f>
        <v>0.833333333333333</v>
      </c>
      <c r="G9" s="22" t="n">
        <f aca="false">IFERROR(INDEX('Nhật ký'!$K$2:$K$281,MATCH($B$2,'Nhật ký'!$A$2:$A$281,0)+G$4-1),"")</f>
        <v>0.802083333333333</v>
      </c>
      <c r="H9" s="22" t="n">
        <f aca="false">IFERROR(INDEX('Nhật ký'!$K$2:$K$281,MATCH($B$2,'Nhật ký'!$A$2:$A$281,0)+H$4-1),"")</f>
        <v>0.791666666666667</v>
      </c>
      <c r="I9" s="22" t="n">
        <f aca="false">IFERROR(INDEX('Nhật ký'!$K$2:$K$281,MATCH($B$2,'Nhật ký'!$A$2:$A$281,0)+I$4-1),"")</f>
        <v>0.8125</v>
      </c>
      <c r="J9" s="22" t="n">
        <f aca="false">IFERROR(INDEX('Nhật ký'!$K$2:$K$281,MATCH($B$2,'Nhật ký'!$A$2:$A$281,0)+J$4-1),"")</f>
        <v>0.805555555555556</v>
      </c>
      <c r="K9" s="22" t="n">
        <f aca="false">IFERROR(INDEX('Nhật ký'!$K$2:$K$281,MATCH($B$2,'Nhật ký'!$A$2:$A$281,0)+K$4-1),"")</f>
        <v>0.791666666666667</v>
      </c>
      <c r="L9" s="22" t="n">
        <f aca="false">IFERROR(INDEX('Nhật ký'!$K$2:$K$281,MATCH($B$2,'Nhật ký'!$A$2:$A$281,0)+L$4-1),"")</f>
        <v>0.8125</v>
      </c>
      <c r="M9" s="22" t="n">
        <f aca="false">IFERROR(INDEX('Nhật ký'!$K$2:$K$281,MATCH($B$2,'Nhật ký'!$A$2:$A$281,0)+M$4-1),"")</f>
        <v>0.798611111111111</v>
      </c>
      <c r="N9" s="22" t="n">
        <f aca="false">IFERROR(INDEX('Nhật ký'!$K$2:$K$281,MATCH($B$2,'Nhật ký'!$A$2:$A$281,0)+N$4-1),"")</f>
        <v>0.791666666666667</v>
      </c>
      <c r="O9" s="22" t="n">
        <f aca="false">IFERROR(INDEX('Nhật ký'!$K$2:$K$281,MATCH($B$2,'Nhật ký'!$A$2:$A$281,0)+O$4-1),"")</f>
        <v>0.8125</v>
      </c>
    </row>
    <row r="10" customFormat="false" ht="15" hidden="false" customHeight="false" outlineLevel="0" collapsed="false">
      <c r="A10" s="2" t="s">
        <v>134</v>
      </c>
      <c r="B10" s="22" t="n">
        <f aca="false">IFERROR(INDEX('Nhật ký'!$L$2:$L$281,MATCH($B$2,'Nhật ký'!$A$2:$A$281,0)+B$4-1),"")</f>
        <v>0.0104166666666667</v>
      </c>
      <c r="C10" s="22" t="n">
        <f aca="false">IFERROR(INDEX('Nhật ký'!$L$2:$L$281,MATCH($B$2,'Nhật ký'!$A$2:$A$281,0)+C$4-1),"")</f>
        <v>0.986111111111111</v>
      </c>
      <c r="D10" s="22" t="n">
        <f aca="false">IFERROR(INDEX('Nhật ký'!$L$2:$L$281,MATCH($B$2,'Nhật ký'!$A$2:$A$281,0)+D$4-1),"")</f>
        <v>0.0208333333333333</v>
      </c>
      <c r="E10" s="22" t="n">
        <f aca="false">IFERROR(INDEX('Nhật ký'!$L$2:$L$281,MATCH($B$2,'Nhật ký'!$A$2:$A$281,0)+E$4-1),"")</f>
        <v>0.979166666666667</v>
      </c>
      <c r="F10" s="22" t="n">
        <f aca="false">IFERROR(INDEX('Nhật ký'!$L$2:$L$281,MATCH($B$2,'Nhật ký'!$A$2:$A$281,0)+F$4-1),"")</f>
        <v>0</v>
      </c>
      <c r="G10" s="22" t="n">
        <f aca="false">IFERROR(INDEX('Nhật ký'!$L$2:$L$281,MATCH($B$2,'Nhật ký'!$A$2:$A$281,0)+G$4-1),"")</f>
        <v>0.96875</v>
      </c>
      <c r="H10" s="22" t="n">
        <f aca="false">IFERROR(INDEX('Nhật ký'!$L$2:$L$281,MATCH($B$2,'Nhật ký'!$A$2:$A$281,0)+H$4-1),"")</f>
        <v>0.958333333333333</v>
      </c>
      <c r="I10" s="22" t="n">
        <f aca="false">IFERROR(INDEX('Nhật ký'!$L$2:$L$281,MATCH($B$2,'Nhật ký'!$A$2:$A$281,0)+I$4-1),"")</f>
        <v>0.979166666666667</v>
      </c>
      <c r="J10" s="22" t="n">
        <f aca="false">IFERROR(INDEX('Nhật ký'!$L$2:$L$281,MATCH($B$2,'Nhật ký'!$A$2:$A$281,0)+J$4-1),"")</f>
        <v>0.958333333333333</v>
      </c>
      <c r="K10" s="22" t="n">
        <f aca="false">IFERROR(INDEX('Nhật ký'!$L$2:$L$281,MATCH($B$2,'Nhật ký'!$A$2:$A$281,0)+K$4-1),"")</f>
        <v>0.947916666666667</v>
      </c>
      <c r="L10" s="22" t="n">
        <f aca="false">IFERROR(INDEX('Nhật ký'!$L$2:$L$281,MATCH($B$2,'Nhật ký'!$A$2:$A$281,0)+L$4-1),"")</f>
        <v>0.00694444444444444</v>
      </c>
      <c r="M10" s="22" t="n">
        <f aca="false">IFERROR(INDEX('Nhật ký'!$L$2:$L$281,MATCH($B$2,'Nhật ký'!$A$2:$A$281,0)+M$4-1),"")</f>
        <v>0.958333333333333</v>
      </c>
      <c r="N10" s="22" t="n">
        <f aca="false">IFERROR(INDEX('Nhật ký'!$L$2:$L$281,MATCH($B$2,'Nhật ký'!$A$2:$A$281,0)+N$4-1),"")</f>
        <v>0.951388888888889</v>
      </c>
      <c r="O10" s="22" t="n">
        <f aca="false">IFERROR(INDEX('Nhật ký'!$L$2:$L$281,MATCH($B$2,'Nhật ký'!$A$2:$A$281,0)+O$4-1),"")</f>
        <v>0.972222222222222</v>
      </c>
    </row>
    <row r="11" customFormat="false" ht="15" hidden="false" customHeight="false" outlineLevel="0" collapsed="false">
      <c r="A11" s="2" t="s">
        <v>135</v>
      </c>
      <c r="B11" s="20" t="n">
        <f aca="false">IFERROR(INDEX('Nhật ký'!$G$2:$G$281,MATCH($B$2,'Nhật ký'!$A$2:$A$281,0)+B$4-1),"")</f>
        <v>2</v>
      </c>
      <c r="C11" s="20" t="n">
        <f aca="false">IFERROR(INDEX('Nhật ký'!$G$2:$G$281,MATCH($B$2,'Nhật ký'!$A$2:$A$281,0)+C$4-1),"")</f>
        <v>3</v>
      </c>
      <c r="D11" s="20" t="n">
        <f aca="false">IFERROR(INDEX('Nhật ký'!$G$2:$G$281,MATCH($B$2,'Nhật ký'!$A$2:$A$281,0)+D$4-1),"")</f>
        <v>2</v>
      </c>
      <c r="E11" s="20" t="n">
        <f aca="false">IFERROR(INDEX('Nhật ký'!$G$2:$G$281,MATCH($B$2,'Nhật ký'!$A$2:$A$281,0)+E$4-1),"")</f>
        <v>3</v>
      </c>
      <c r="F11" s="20" t="n">
        <f aca="false">IFERROR(INDEX('Nhật ký'!$G$2:$G$281,MATCH($B$2,'Nhật ký'!$A$2:$A$281,0)+F$4-1),"")</f>
        <v>2</v>
      </c>
      <c r="G11" s="20" t="n">
        <f aca="false">IFERROR(INDEX('Nhật ký'!$G$2:$G$281,MATCH($B$2,'Nhật ký'!$A$2:$A$281,0)+G$4-1),"")</f>
        <v>3</v>
      </c>
      <c r="H11" s="20" t="n">
        <f aca="false">IFERROR(INDEX('Nhật ký'!$G$2:$G$281,MATCH($B$2,'Nhật ký'!$A$2:$A$281,0)+H$4-1),"")</f>
        <v>4</v>
      </c>
      <c r="I11" s="20" t="n">
        <f aca="false">IFERROR(INDEX('Nhật ký'!$G$2:$G$281,MATCH($B$2,'Nhật ký'!$A$2:$A$281,0)+I$4-1),"")</f>
        <v>3</v>
      </c>
      <c r="J11" s="20" t="n">
        <f aca="false">IFERROR(INDEX('Nhật ký'!$G$2:$G$281,MATCH($B$2,'Nhật ký'!$A$2:$A$281,0)+J$4-1),"")</f>
        <v>4</v>
      </c>
      <c r="K11" s="20" t="n">
        <f aca="false">IFERROR(INDEX('Nhật ký'!$G$2:$G$281,MATCH($B$2,'Nhật ký'!$A$2:$A$281,0)+K$4-1),"")</f>
        <v>4</v>
      </c>
      <c r="L11" s="20" t="n">
        <f aca="false">IFERROR(INDEX('Nhật ký'!$G$2:$G$281,MATCH($B$2,'Nhật ký'!$A$2:$A$281,0)+L$4-1),"")</f>
        <v>2</v>
      </c>
      <c r="M11" s="20" t="n">
        <f aca="false">IFERROR(INDEX('Nhật ký'!$G$2:$G$281,MATCH($B$2,'Nhật ký'!$A$2:$A$281,0)+M$4-1),"")</f>
        <v>4</v>
      </c>
      <c r="N11" s="20" t="n">
        <f aca="false">IFERROR(INDEX('Nhật ký'!$G$2:$G$281,MATCH($B$2,'Nhật ký'!$A$2:$A$281,0)+N$4-1),"")</f>
        <v>4</v>
      </c>
      <c r="O11" s="20" t="n">
        <f aca="false">IFERROR(INDEX('Nhật ký'!$G$2:$G$281,MATCH($B$2,'Nhật ký'!$A$2:$A$281,0)+O$4-1),"")</f>
        <v>3</v>
      </c>
    </row>
    <row r="13" customFormat="false" ht="15" hidden="false" customHeight="false" outlineLevel="0" collapsed="false">
      <c r="A13" s="2" t="s">
        <v>136</v>
      </c>
      <c r="B13" s="23" t="str">
        <f aca="false">IFERROR(INDEX('Tổng kết'!$T$2:$T$21,MATCH($B$2,'Tổng kết'!$A$2:$A$21,0)),"")</f>
        <v>Mời Xả áp lực</v>
      </c>
    </row>
    <row r="14" customFormat="false" ht="15" hidden="false" customHeight="false" outlineLevel="0" collapsed="false">
      <c r="A14" s="2" t="s">
        <v>137</v>
      </c>
      <c r="B14" s="24" t="str">
        <f aca="false">IFERROR(INDEX('Tổng kết'!$U$2:$U$21,MATCH($B$2,'Tổng kết'!$A$2:$A$21,0)),"")</f>
        <v>14 đêm qua, giấc ngủ của bạn lên từ 49 lên 67 điểm. Nhưng 5 trong 6 đêm vỡ rơi đúng vào ngày bạn chấm căng từ 4, và phần lớn là căng vì Việc. Gốc rễ giờ nằm ở ban ngày, mình sang Xả áp lực nhé?</v>
      </c>
      <c r="C14" s="24"/>
      <c r="D14" s="24"/>
      <c r="E14" s="24"/>
      <c r="F14" s="24"/>
      <c r="G14" s="24"/>
      <c r="H14" s="24"/>
      <c r="I14" s="24"/>
      <c r="J14" s="24"/>
      <c r="K14" s="24"/>
      <c r="L14" s="24"/>
      <c r="M14" s="24"/>
      <c r="N14" s="24"/>
      <c r="O14" s="24"/>
    </row>
    <row r="15" customFormat="false" ht="15" hidden="false" customHeight="false" outlineLevel="0" collapsed="false">
      <c r="B15" s="24"/>
      <c r="C15" s="24"/>
      <c r="D15" s="24"/>
      <c r="E15" s="24"/>
      <c r="F15" s="24"/>
      <c r="G15" s="24"/>
      <c r="H15" s="24"/>
      <c r="I15" s="24"/>
      <c r="J15" s="24"/>
      <c r="K15" s="24"/>
      <c r="L15" s="24"/>
      <c r="M15" s="24"/>
      <c r="N15" s="24"/>
      <c r="O15" s="24"/>
    </row>
    <row r="16" customFormat="false" ht="15" hidden="false" customHeight="false" outlineLevel="0" collapsed="false">
      <c r="B16" s="24"/>
      <c r="C16" s="24"/>
      <c r="D16" s="24"/>
      <c r="E16" s="24"/>
      <c r="F16" s="24"/>
      <c r="G16" s="24"/>
      <c r="H16" s="24"/>
      <c r="I16" s="24"/>
      <c r="J16" s="24"/>
      <c r="K16" s="24"/>
      <c r="L16" s="24"/>
      <c r="M16" s="24"/>
      <c r="N16" s="24"/>
      <c r="O16" s="24"/>
    </row>
    <row r="18" customFormat="false" ht="15" hidden="false" customHeight="false" outlineLevel="0" collapsed="false">
      <c r="A18" s="9" t="s">
        <v>138</v>
      </c>
    </row>
  </sheetData>
  <mergeCells count="1">
    <mergeCell ref="B14:O16"/>
  </mergeCells>
  <conditionalFormatting sqref="B5:O5">
    <cfRule type="cellIs" priority="2" operator="lessThan" aboveAverage="0" equalAverage="0" bottom="0" percent="0" rank="0" text="" dxfId="3">
      <formula>Ngưỡng!$B$4</formula>
    </cfRule>
    <cfRule type="cellIs" priority="3" operator="greaterThanOrEqual" aboveAverage="0" equalAverage="0" bottom="0" percent="0" rank="0" text="" dxfId="1">
      <formula>Ngưỡng!$B$3</formula>
    </cfRule>
  </conditionalFormatting>
  <conditionalFormatting sqref="B7:O7">
    <cfRule type="cellIs" priority="4" operator="greaterThanOrEqual" aboveAverage="0" equalAverage="0" bottom="0" percent="0" rank="0" text="" dxfId="4">
      <formula>Ngưỡng!$B$5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s>
  <sheetData>
    <row r="1" customFormat="false" ht="17.35" hidden="false" customHeight="false" outlineLevel="0" collapsed="false">
      <c r="A1" s="1" t="s">
        <v>139</v>
      </c>
    </row>
    <row r="3" customFormat="false" ht="15" hidden="false" customHeight="false" outlineLevel="0" collapsed="false">
      <c r="A3" s="4" t="s">
        <v>140</v>
      </c>
      <c r="B3" s="25" t="n">
        <f aca="false">COUNTIF('Tổng kết'!$B$2:$B$21,"&gt;0")</f>
        <v>2</v>
      </c>
    </row>
    <row r="4" customFormat="false" ht="15" hidden="false" customHeight="false" outlineLevel="0" collapsed="false">
      <c r="A4" s="4" t="s">
        <v>141</v>
      </c>
      <c r="B4" s="25" t="n">
        <f aca="false">COUNTIF('Tổng kết'!$B$2:$B$21,"&gt;="&amp;Ngưỡng!$B$8)</f>
        <v>2</v>
      </c>
    </row>
    <row r="5" customFormat="false" ht="15" hidden="false" customHeight="false" outlineLevel="0" collapsed="false">
      <c r="A5" s="4" t="s">
        <v>142</v>
      </c>
      <c r="B5" s="25" t="n">
        <f aca="false">COUNTIF('Tổng kết'!$H$2:$H$21,"Có")</f>
        <v>1</v>
      </c>
    </row>
    <row r="6" customFormat="false" ht="15" hidden="false" customHeight="false" outlineLevel="0" collapsed="false">
      <c r="A6" s="4" t="s">
        <v>143</v>
      </c>
      <c r="B6" s="26" t="n">
        <f aca="false">IFERROR(B5/B3,0)</f>
        <v>0.5</v>
      </c>
    </row>
    <row r="7" customFormat="false" ht="15" hidden="false" customHeight="false" outlineLevel="0" collapsed="false">
      <c r="A7" s="4" t="s">
        <v>144</v>
      </c>
      <c r="B7" s="25" t="n">
        <f aca="false">COUNTIF('Tổng kết'!$T$2:$T$21,"Mời Xả áp lực")</f>
        <v>1</v>
      </c>
    </row>
    <row r="8" customFormat="false" ht="15" hidden="false" customHeight="false" outlineLevel="0" collapsed="false">
      <c r="A8" s="4" t="s">
        <v>145</v>
      </c>
      <c r="B8" s="25" t="n">
        <f aca="false">COUNTIF('Tổng kết'!$T$2:$T$21,"Mời Hồi sinh lực")</f>
        <v>1</v>
      </c>
    </row>
    <row r="9" customFormat="false" ht="15" hidden="false" customHeight="false" outlineLevel="0" collapsed="false">
      <c r="A9" s="4" t="s">
        <v>146</v>
      </c>
      <c r="B9" s="25" t="n">
        <f aca="false">COUNTIF('Tổng kết'!$T$2:$T$21,"Vào Cổng Khỏe")</f>
        <v>0</v>
      </c>
    </row>
    <row r="10" customFormat="false" ht="15" hidden="false" customHeight="false" outlineLevel="0" collapsed="false">
      <c r="A10" s="4" t="s">
        <v>147</v>
      </c>
      <c r="B10" s="25" t="n">
        <f aca="false">COUNTIF('Tổng kết'!$T$2:$T$21,"Gốc*")</f>
        <v>0</v>
      </c>
    </row>
    <row r="11" customFormat="false" ht="15" hidden="false" customHeight="false" outlineLevel="0" collapsed="false">
      <c r="A11" s="4" t="s">
        <v>148</v>
      </c>
      <c r="B11" s="25" t="n">
        <f aca="false">COUNTIF('Tổng kết'!$T$2:$T$21,"Chưa bám rễ*")</f>
        <v>0</v>
      </c>
    </row>
    <row r="12" customFormat="false" ht="15" hidden="false" customHeight="false" outlineLevel="0" collapsed="false">
      <c r="A12" s="4" t="s">
        <v>149</v>
      </c>
      <c r="B12" s="25" t="n">
        <f aca="false">COUNTIF('Tổng kết'!$T$2:$T$21,"Chưa đủ*")</f>
        <v>0</v>
      </c>
    </row>
    <row r="13" customFormat="false" ht="15" hidden="false" customHeight="false" outlineLevel="0" collapsed="false">
      <c r="A13" s="4" t="s">
        <v>150</v>
      </c>
      <c r="B13" s="27" t="n">
        <f aca="false">IFERROR(AVERAGE('Tổng kết'!$D$2:$D$21),"")</f>
        <v>46.4285714285714</v>
      </c>
    </row>
    <row r="14" customFormat="false" ht="15" hidden="false" customHeight="false" outlineLevel="0" collapsed="false">
      <c r="A14" s="4" t="s">
        <v>151</v>
      </c>
      <c r="B14" s="27" t="n">
        <f aca="false">IFERROR(AVERAGE('Tổng kết'!$E$2:$E$21),"")</f>
        <v>67.1428571428571</v>
      </c>
    </row>
    <row r="16" customFormat="false" ht="15" hidden="false" customHeight="false" outlineLevel="0" collapsed="false">
      <c r="A16" s="9"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2026-10-06T09:15:07Z</dcterms:created>
  <dc:creator>openpyxl</dc:creator>
  <dc:description/>
  <dc:language>en-US</dc:language>
  <cp:lastModifiedBy/>
  <dcterms:modified xsi:type="dcterms:W3CDTF">2026-10-06T09:15:08Z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